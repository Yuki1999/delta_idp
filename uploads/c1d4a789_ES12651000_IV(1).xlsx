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当前主要业务\相关资料\自动化录入功能测试\"/>
    </mc:Choice>
  </mc:AlternateContent>
  <bookViews>
    <workbookView xWindow="0" yWindow="0" windowWidth="28800" windowHeight="12435"/>
  </bookViews>
  <sheets>
    <sheet name="LEIV001" sheetId="1" r:id="rId1"/>
  </sheets>
  <calcPr calcId="152511"/>
</workbook>
</file>

<file path=xl/calcChain.xml><?xml version="1.0" encoding="utf-8"?>
<calcChain xmlns="http://schemas.openxmlformats.org/spreadsheetml/2006/main">
  <c r="CO42" i="1" l="1"/>
  <c r="CT29" i="1"/>
  <c r="CT30" i="1"/>
  <c r="CT31" i="1"/>
  <c r="CT32" i="1"/>
  <c r="CT33" i="1"/>
  <c r="CT34" i="1"/>
  <c r="CT35" i="1"/>
  <c r="CT36" i="1"/>
  <c r="CT37" i="1"/>
  <c r="CT38" i="1"/>
  <c r="CT39" i="1"/>
  <c r="CT40" i="1"/>
  <c r="CT41" i="1"/>
  <c r="CT28" i="1"/>
</calcChain>
</file>

<file path=xl/sharedStrings.xml><?xml version="1.0" encoding="utf-8"?>
<sst xmlns="http://schemas.openxmlformats.org/spreadsheetml/2006/main" count="100" uniqueCount="87">
  <si>
    <t xml:space="preserve">   I N V O I C E</t>
  </si>
  <si>
    <t>SAMSUNG ELECTRO-MECHANICS CO.,LTD</t>
  </si>
  <si>
    <t>1) Shipper/Export</t>
  </si>
  <si>
    <t>8)No. &amp; date of invoice</t>
  </si>
  <si>
    <t>SAMSUNG ELECTRO-MECHANICS (SHENZHEN) CO.,LTD
14F,Tower A,SCC,Junction of Houhai Blvd and
Haide 1st Rd.,Nanshan,District,Shenzhen,
Guangdong,China</t>
  </si>
  <si>
    <t>ES12651000               MAY.13,2026</t>
  </si>
  <si>
    <t>9)No. &amp; date of L/C</t>
  </si>
  <si>
    <t>2) For Account &amp; Risk of Messrs</t>
  </si>
  <si>
    <t>10) L/C Issuing Bank</t>
  </si>
  <si>
    <t>SCOPE(TW)
3F,NO.176,JIANKANG RD.,CHUNGHO CITY,235 TA
TAIWAN,CHINA 12345</t>
  </si>
  <si>
    <t>11)Remarks</t>
  </si>
  <si>
    <t>3) Notify party</t>
  </si>
  <si>
    <t>SCOPE(PEGATRON:TW)
2F,NO4,ALY.1,SIWEI LN,ZHONGZHENG RD,TAIPEI
XINDIAN DIST. 23148</t>
  </si>
  <si>
    <t>4)Port of loading</t>
  </si>
  <si>
    <t>5)Final destination</t>
  </si>
  <si>
    <t>6)Carrier</t>
  </si>
  <si>
    <t>7)Sailing on or about</t>
  </si>
  <si>
    <t>12)Marks and numbers of PKGS</t>
  </si>
  <si>
    <t>13)Description of good</t>
  </si>
  <si>
    <t>14)Quantity/Unit</t>
  </si>
  <si>
    <t>15)Unit Price</t>
  </si>
  <si>
    <t>16)Amount</t>
  </si>
  <si>
    <t>SCOPE(PEGATRON:TW)
C/T NO:61T</t>
  </si>
  <si>
    <t>CIF TAOYUAN AIRPORT</t>
  </si>
  <si>
    <t>MULTI LAYER CERAMIC CAPACITOR</t>
  </si>
  <si>
    <t>ITEM</t>
  </si>
  <si>
    <t>P/O</t>
  </si>
  <si>
    <t>P/N</t>
  </si>
  <si>
    <t>SAMSUNG P/N</t>
  </si>
  <si>
    <t>PC</t>
  </si>
  <si>
    <t>@USD/1000</t>
  </si>
  <si>
    <t>USD</t>
  </si>
  <si>
    <t>2</t>
  </si>
  <si>
    <t>25TZ00141</t>
  </si>
  <si>
    <t>CL21A476MQYNNNE</t>
  </si>
  <si>
    <t>240,000</t>
  </si>
  <si>
    <t>5</t>
  </si>
  <si>
    <t>26T100015</t>
  </si>
  <si>
    <t>CL31A107MQHNNNE</t>
  </si>
  <si>
    <t>146,000</t>
  </si>
  <si>
    <t>1</t>
  </si>
  <si>
    <t>26T100206</t>
  </si>
  <si>
    <t>CL05X226MR6NUW8</t>
  </si>
  <si>
    <t>416,000</t>
  </si>
  <si>
    <t>4</t>
  </si>
  <si>
    <t>26T100208</t>
  </si>
  <si>
    <t>CL21A226MAYNNNE</t>
  </si>
  <si>
    <t>80,000</t>
  </si>
  <si>
    <t>6</t>
  </si>
  <si>
    <t>CL21A226MQQNNNE</t>
  </si>
  <si>
    <t>14,000</t>
  </si>
  <si>
    <t>16</t>
  </si>
  <si>
    <t>26T100270</t>
  </si>
  <si>
    <t>CL05A475MQ5NRNC</t>
  </si>
  <si>
    <t>1,540,000</t>
  </si>
  <si>
    <t>26T100271</t>
  </si>
  <si>
    <t>CL10A106MA8NRNC</t>
  </si>
  <si>
    <t>4,068,000</t>
  </si>
  <si>
    <t>CL21A106KAYNNNE</t>
  </si>
  <si>
    <t>264,000</t>
  </si>
  <si>
    <t>10</t>
  </si>
  <si>
    <t>26T200021</t>
  </si>
  <si>
    <t>CL05A106MQ5NUNC</t>
  </si>
  <si>
    <t>8,920,000</t>
  </si>
  <si>
    <t>26T300033</t>
  </si>
  <si>
    <t>CL10A106MQ8NNNC</t>
  </si>
  <si>
    <t>56,000</t>
  </si>
  <si>
    <t>11</t>
  </si>
  <si>
    <t>2,172,000</t>
  </si>
  <si>
    <t>15</t>
  </si>
  <si>
    <t>26T300110</t>
  </si>
  <si>
    <t>130,000</t>
  </si>
  <si>
    <t>26T300246</t>
  </si>
  <si>
    <t>CL21A106KAYQNWE</t>
  </si>
  <si>
    <t>94,000</t>
  </si>
  <si>
    <t>26T500124</t>
  </si>
  <si>
    <t>CL32B106KBVZNWE</t>
  </si>
  <si>
    <t>1,000</t>
  </si>
  <si>
    <t>TOTAL :</t>
  </si>
  <si>
    <t>18,141,000</t>
  </si>
  <si>
    <t xml:space="preserve"> </t>
  </si>
  <si>
    <t>ES12651000</t>
  </si>
  <si>
    <t>PAGE : 1</t>
  </si>
  <si>
    <t>PAGE : 2</t>
  </si>
  <si>
    <t>Signed by</t>
  </si>
  <si>
    <t>made in Taiwan,China</t>
    <phoneticPr fontId="27" type="noConversion"/>
  </si>
  <si>
    <t>CHINA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</si>
</sst>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>
    <font>
      <sz val="11"/>
      <color indexed="8"/>
      <name val="宋体"/>
      <family val="2"/>
      <scheme val="minor"/>
    </font>
    <font>
      <b/>
      <sz val="10.5"/>
      <color rgb="FF000000"/>
      <name val="카이겐고딕 KR Normal"/>
      <family val="3"/>
      <charset val="129"/>
    </font>
    <font>
      <b/>
      <sz val="10.5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8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10.5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카이겐고딕 KR Normal"/>
      <family val="3"/>
      <charset val="129"/>
    </font>
    <font>
      <sz val="9"/>
      <color rgb="FF000000"/>
      <name val="Tahoma"/>
      <family val="2"/>
    </font>
    <font>
      <sz val="9"/>
      <color rgb="FF000000"/>
      <name val="카이겐고딕 KR Normal"/>
      <family val="3"/>
      <charset val="129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top" wrapText="1"/>
    </xf>
    <xf numFmtId="0" fontId="9" fillId="2" borderId="7" xfId="0" applyFont="1" applyFill="1" applyBorder="1" applyAlignment="1">
      <alignment horizontal="left" vertical="top" wrapText="1"/>
    </xf>
    <xf numFmtId="0" fontId="10" fillId="2" borderId="8" xfId="0" applyFont="1" applyFill="1" applyBorder="1" applyAlignment="1">
      <alignment horizontal="left" vertical="top" wrapText="1"/>
    </xf>
    <xf numFmtId="0" fontId="11" fillId="2" borderId="1" xfId="0" applyFont="1" applyFill="1" applyBorder="1" applyAlignment="1">
      <alignment horizontal="left" vertical="top" wrapText="1"/>
    </xf>
    <xf numFmtId="0" fontId="12" fillId="2" borderId="9" xfId="0" applyFont="1" applyFill="1" applyBorder="1" applyAlignment="1">
      <alignment horizontal="left" vertical="top" wrapText="1"/>
    </xf>
    <xf numFmtId="0" fontId="13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right" vertical="center" wrapText="1"/>
    </xf>
    <xf numFmtId="0" fontId="17" fillId="2" borderId="1" xfId="0" applyFont="1" applyFill="1" applyBorder="1" applyAlignment="1">
      <alignment horizontal="left" vertical="center" wrapText="1"/>
    </xf>
    <xf numFmtId="0" fontId="18" fillId="2" borderId="10" xfId="0" applyFont="1" applyFill="1" applyBorder="1" applyAlignment="1">
      <alignment horizontal="left" wrapText="1"/>
    </xf>
    <xf numFmtId="0" fontId="19" fillId="2" borderId="10" xfId="0" applyFont="1" applyFill="1" applyBorder="1" applyAlignment="1">
      <alignment horizontal="left" vertical="top" wrapText="1"/>
    </xf>
    <xf numFmtId="0" fontId="20" fillId="2" borderId="10" xfId="0" applyFont="1" applyFill="1" applyBorder="1" applyAlignment="1">
      <alignment horizontal="right" wrapText="1"/>
    </xf>
    <xf numFmtId="0" fontId="21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left" vertical="top" wrapText="1"/>
    </xf>
    <xf numFmtId="0" fontId="23" fillId="2" borderId="9" xfId="0" applyFont="1" applyFill="1" applyBorder="1" applyAlignment="1">
      <alignment horizontal="left" wrapText="1"/>
    </xf>
    <xf numFmtId="0" fontId="24" fillId="2" borderId="9" xfId="0" applyFont="1" applyFill="1" applyBorder="1" applyAlignment="1">
      <alignment horizontal="right" vertical="top" wrapText="1"/>
    </xf>
    <xf numFmtId="0" fontId="25" fillId="2" borderId="10" xfId="0" applyFont="1" applyFill="1" applyBorder="1" applyAlignment="1">
      <alignment horizontal="left" vertical="top" wrapText="1"/>
    </xf>
    <xf numFmtId="0" fontId="26" fillId="2" borderId="9" xfId="0" applyFont="1" applyFill="1" applyBorder="1" applyAlignment="1">
      <alignment horizontal="right" vertical="center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52</xdr:col>
      <xdr:colOff>3295650</xdr:colOff>
      <xdr:row>1</xdr:row>
      <xdr:rowOff>466725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DL254"/>
  <sheetViews>
    <sheetView showGridLines="0" tabSelected="1" workbookViewId="0">
      <selection activeCell="BD13" sqref="BD13:DB16"/>
    </sheetView>
  </sheetViews>
  <sheetFormatPr defaultRowHeight="13.5"/>
  <cols>
    <col min="1" max="1" width="4.375" customWidth="1"/>
    <col min="2" max="2" width="0.75" customWidth="1"/>
    <col min="3" max="3" width="0.125" customWidth="1"/>
    <col min="4" max="4" width="0.75" customWidth="1"/>
    <col min="5" max="5" width="0.375" customWidth="1"/>
    <col min="6" max="6" width="0.125" customWidth="1"/>
    <col min="7" max="7" width="0.25" customWidth="1"/>
    <col min="8" max="8" width="0.125" customWidth="1"/>
    <col min="9" max="9" width="0.25" customWidth="1"/>
    <col min="10" max="10" width="3.25" customWidth="1"/>
    <col min="11" max="11" width="0.25" customWidth="1"/>
    <col min="12" max="12" width="0.125" customWidth="1"/>
    <col min="13" max="13" width="1.375" customWidth="1"/>
    <col min="14" max="14" width="0.625" customWidth="1"/>
    <col min="15" max="15" width="0.75" customWidth="1"/>
    <col min="16" max="16" width="1.375" customWidth="1"/>
    <col min="17" max="17" width="4.125" customWidth="1"/>
    <col min="18" max="19" width="0.125" customWidth="1"/>
    <col min="20" max="20" width="0.375" customWidth="1"/>
    <col min="21" max="21" width="0.25" customWidth="1"/>
    <col min="22" max="22" width="4.875" customWidth="1"/>
    <col min="23" max="23" width="2" customWidth="1"/>
    <col min="24" max="24" width="1" customWidth="1"/>
    <col min="25" max="25" width="1.25" customWidth="1"/>
    <col min="26" max="26" width="2.75" customWidth="1"/>
    <col min="27" max="27" width="0.625" customWidth="1"/>
    <col min="28" max="28" width="0.25" customWidth="1"/>
    <col min="29" max="29" width="0.125" customWidth="1"/>
    <col min="30" max="31" width="0.25" customWidth="1"/>
    <col min="32" max="32" width="0.125" customWidth="1"/>
    <col min="33" max="33" width="0.25" customWidth="1"/>
    <col min="34" max="34" width="0.375" customWidth="1"/>
    <col min="35" max="35" width="0.625" customWidth="1"/>
    <col min="36" max="36" width="0.75" customWidth="1"/>
    <col min="37" max="37" width="2.75" customWidth="1"/>
    <col min="38" max="38" width="3.75" customWidth="1"/>
    <col min="39" max="39" width="1.375" customWidth="1"/>
    <col min="40" max="40" width="1.875" customWidth="1"/>
    <col min="41" max="41" width="3" customWidth="1"/>
    <col min="42" max="42" width="0.25" customWidth="1"/>
    <col min="43" max="44" width="0.625" customWidth="1"/>
    <col min="45" max="46" width="0.125" customWidth="1"/>
    <col min="47" max="47" width="1.375" customWidth="1"/>
    <col min="48" max="48" width="0.25" customWidth="1"/>
    <col min="49" max="49" width="1.625" customWidth="1"/>
    <col min="50" max="50" width="0.125" customWidth="1"/>
    <col min="51" max="52" width="0.25" customWidth="1"/>
    <col min="53" max="53" width="1.75" customWidth="1"/>
    <col min="54" max="54" width="1.125" customWidth="1"/>
    <col min="55" max="55" width="0.75" customWidth="1"/>
    <col min="56" max="56" width="0.125" customWidth="1"/>
    <col min="57" max="58" width="0.75" customWidth="1"/>
    <col min="59" max="59" width="7.375" customWidth="1"/>
    <col min="60" max="61" width="0.625" customWidth="1"/>
    <col min="62" max="62" width="2.875" customWidth="1"/>
    <col min="63" max="63" width="0.375" customWidth="1"/>
    <col min="64" max="64" width="0.25" customWidth="1"/>
    <col min="65" max="65" width="0.125" customWidth="1"/>
    <col min="66" max="66" width="0.25" customWidth="1"/>
    <col min="67" max="68" width="0.125" customWidth="1"/>
    <col min="69" max="69" width="0.25" customWidth="1"/>
    <col min="70" max="70" width="0.875" customWidth="1"/>
    <col min="71" max="71" width="0.375" customWidth="1"/>
    <col min="72" max="72" width="0.125" customWidth="1"/>
    <col min="73" max="73" width="1" customWidth="1"/>
    <col min="74" max="75" width="0.375" customWidth="1"/>
    <col min="76" max="76" width="0.625" customWidth="1"/>
    <col min="77" max="77" width="0.375" customWidth="1"/>
    <col min="78" max="78" width="3.125" customWidth="1"/>
    <col min="79" max="79" width="0.875" customWidth="1"/>
    <col min="80" max="80" width="2.25" customWidth="1"/>
    <col min="81" max="81" width="0.375" customWidth="1"/>
    <col min="82" max="82" width="0.125" customWidth="1"/>
    <col min="83" max="84" width="0.25" customWidth="1"/>
    <col min="85" max="85" width="0.125" customWidth="1"/>
    <col min="86" max="86" width="0.875" customWidth="1"/>
    <col min="87" max="87" width="2.75" customWidth="1"/>
    <col min="88" max="88" width="2.875" customWidth="1"/>
    <col min="89" max="89" width="1.25" customWidth="1"/>
    <col min="90" max="90" width="2.125" customWidth="1"/>
    <col min="91" max="91" width="0.875" customWidth="1"/>
    <col min="92" max="92" width="0.625" customWidth="1"/>
    <col min="93" max="95" width="0.125" customWidth="1"/>
    <col min="96" max="96" width="0.25" customWidth="1"/>
    <col min="97" max="97" width="0.125" customWidth="1"/>
    <col min="98" max="98" width="0.375" customWidth="1"/>
    <col min="99" max="99" width="1.125" customWidth="1"/>
    <col min="100" max="100" width="3.875" customWidth="1"/>
    <col min="101" max="101" width="1" customWidth="1"/>
    <col min="102" max="102" width="1.375" customWidth="1"/>
    <col min="103" max="103" width="0.625" customWidth="1"/>
    <col min="104" max="104" width="3.625" customWidth="1"/>
    <col min="105" max="105" width="0.25" customWidth="1"/>
    <col min="106" max="106" width="0.375" customWidth="1"/>
    <col min="107" max="107" width="0.125" customWidth="1"/>
    <col min="108" max="108" width="0.25" customWidth="1"/>
    <col min="109" max="109" width="0.125" customWidth="1"/>
    <col min="110" max="110" width="0.25" customWidth="1"/>
    <col min="111" max="111" width="0.375" customWidth="1"/>
    <col min="112" max="112" width="0.25" customWidth="1"/>
    <col min="113" max="113" width="0.125" customWidth="1"/>
    <col min="114" max="114" width="0.25" customWidth="1"/>
    <col min="115" max="115" width="1.375" customWidth="1"/>
    <col min="116" max="116" width="2.125" customWidth="1"/>
  </cols>
  <sheetData>
    <row r="1" spans="6:107" ht="21" customHeight="1"/>
    <row r="2" spans="6:107" ht="36.75" customHeight="1"/>
    <row r="3" spans="6:107" ht="2.25" customHeight="1"/>
    <row r="4" spans="6:107" ht="18.75" customHeight="1">
      <c r="G4" s="1" t="s">
        <v>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2" t="s">
        <v>1</v>
      </c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</row>
    <row r="5" spans="6:107" ht="12.75" customHeight="1"/>
    <row r="6" spans="6:107" ht="18.75" customHeight="1">
      <c r="F6" s="3" t="s">
        <v>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4" t="s">
        <v>3</v>
      </c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</row>
    <row r="7" spans="6:107" ht="37.5" customHeight="1">
      <c r="F7" s="5" t="s">
        <v>4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6" t="s">
        <v>5</v>
      </c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</row>
    <row r="8" spans="6:107" ht="18.75" customHeight="1"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4" t="s">
        <v>6</v>
      </c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</row>
    <row r="9" spans="6:107" ht="22.5" customHeight="1"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</row>
    <row r="10" spans="6:107" ht="18.75" customHeight="1">
      <c r="F10" s="3" t="s">
        <v>7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4" t="s">
        <v>8</v>
      </c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</row>
    <row r="11" spans="6:107" ht="45" customHeight="1">
      <c r="F11" s="5" t="s">
        <v>9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</row>
    <row r="12" spans="6:107" ht="18.75" customHeight="1"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4" t="s">
        <v>10</v>
      </c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</row>
    <row r="13" spans="6:107" ht="18.75" customHeight="1">
      <c r="F13" s="7" t="s">
        <v>11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</row>
    <row r="14" spans="6:107" ht="47.25" customHeight="1">
      <c r="F14" s="5" t="s">
        <v>12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</row>
    <row r="15" spans="6:107" ht="18.75" customHeight="1">
      <c r="F15" s="3" t="s">
        <v>13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9" t="s">
        <v>14</v>
      </c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</row>
    <row r="16" spans="6:107" ht="33" customHeight="1"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28" t="s">
        <v>86</v>
      </c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</row>
    <row r="17" spans="2:107" ht="18.75" customHeight="1">
      <c r="F17" s="3" t="s">
        <v>15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9" t="s">
        <v>16</v>
      </c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</row>
    <row r="18" spans="2:107" ht="18.75" customHeight="1"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27" t="s">
        <v>85</v>
      </c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</row>
    <row r="19" spans="2:107" ht="18.75" customHeight="1"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</row>
    <row r="20" spans="2:107" ht="21" customHeight="1"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</row>
    <row r="21" spans="2:107" ht="0.75" customHeight="1"/>
    <row r="22" spans="2:107" ht="17.25" customHeight="1">
      <c r="G22" s="13" t="s">
        <v>17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 t="s">
        <v>18</v>
      </c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 t="s">
        <v>19</v>
      </c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 t="s">
        <v>20</v>
      </c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 t="s">
        <v>21</v>
      </c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</row>
    <row r="23" spans="2:107" ht="0.75" customHeight="1"/>
    <row r="24" spans="2:107" ht="25.5" customHeight="1">
      <c r="G24" s="11" t="s">
        <v>22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</row>
    <row r="25" spans="2:107" ht="13.5" customHeight="1">
      <c r="BE25" s="14" t="s">
        <v>23</v>
      </c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</row>
    <row r="26" spans="2:107" ht="13.5" customHeight="1">
      <c r="C26" s="14" t="s">
        <v>24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</row>
    <row r="27" spans="2:107" ht="18.75" customHeight="1">
      <c r="B27" s="15" t="s">
        <v>25</v>
      </c>
      <c r="C27" s="15"/>
      <c r="D27" s="15"/>
      <c r="E27" s="15"/>
      <c r="F27" s="15"/>
      <c r="G27" s="15"/>
      <c r="H27" s="15"/>
      <c r="I27" s="15"/>
      <c r="J27" s="15"/>
      <c r="K27" s="15"/>
      <c r="L27" s="13" t="s">
        <v>26</v>
      </c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 t="s">
        <v>27</v>
      </c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 t="s">
        <v>28</v>
      </c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6" t="s">
        <v>29</v>
      </c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 t="s">
        <v>30</v>
      </c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 t="s">
        <v>31</v>
      </c>
      <c r="CU27" s="16"/>
      <c r="CV27" s="16"/>
      <c r="CW27" s="16"/>
      <c r="CX27" s="16"/>
      <c r="CY27" s="16"/>
      <c r="CZ27" s="16"/>
      <c r="DA27" s="16"/>
      <c r="DB27" s="16"/>
      <c r="DC27" s="16"/>
    </row>
    <row r="28" spans="2:107" ht="15" customHeight="1">
      <c r="B28" s="15" t="s">
        <v>32</v>
      </c>
      <c r="C28" s="15"/>
      <c r="D28" s="15"/>
      <c r="E28" s="15"/>
      <c r="F28" s="15"/>
      <c r="G28" s="15"/>
      <c r="H28" s="15"/>
      <c r="I28" s="15"/>
      <c r="J28" s="15"/>
      <c r="K28" s="15"/>
      <c r="L28" s="13" t="s">
        <v>33</v>
      </c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3" t="s">
        <v>34</v>
      </c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6" t="s">
        <v>35</v>
      </c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>
        <v>1</v>
      </c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>
        <f>BQ28*CE28</f>
        <v>240000</v>
      </c>
      <c r="CU28" s="16"/>
      <c r="CV28" s="16"/>
      <c r="CW28" s="16"/>
      <c r="CX28" s="16"/>
      <c r="CY28" s="16"/>
      <c r="CZ28" s="16"/>
      <c r="DA28" s="16"/>
      <c r="DB28" s="16"/>
      <c r="DC28" s="16"/>
    </row>
    <row r="29" spans="2:107" ht="15" customHeight="1">
      <c r="B29" s="15" t="s">
        <v>36</v>
      </c>
      <c r="C29" s="15"/>
      <c r="D29" s="15"/>
      <c r="E29" s="15"/>
      <c r="F29" s="15"/>
      <c r="G29" s="15"/>
      <c r="H29" s="15"/>
      <c r="I29" s="15"/>
      <c r="J29" s="15"/>
      <c r="K29" s="15"/>
      <c r="L29" s="13" t="s">
        <v>37</v>
      </c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3" t="s">
        <v>38</v>
      </c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6" t="s">
        <v>39</v>
      </c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>
        <v>2</v>
      </c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>
        <f t="shared" ref="CT29:CT41" si="0">BQ29*CE29</f>
        <v>292000</v>
      </c>
      <c r="CU29" s="16"/>
      <c r="CV29" s="16"/>
      <c r="CW29" s="16"/>
      <c r="CX29" s="16"/>
      <c r="CY29" s="16"/>
      <c r="CZ29" s="16"/>
      <c r="DA29" s="16"/>
      <c r="DB29" s="16"/>
      <c r="DC29" s="16"/>
    </row>
    <row r="30" spans="2:107" ht="15" customHeight="1">
      <c r="B30" s="15" t="s">
        <v>40</v>
      </c>
      <c r="C30" s="15"/>
      <c r="D30" s="15"/>
      <c r="E30" s="15"/>
      <c r="F30" s="15"/>
      <c r="G30" s="15"/>
      <c r="H30" s="15"/>
      <c r="I30" s="15"/>
      <c r="J30" s="15"/>
      <c r="K30" s="15"/>
      <c r="L30" s="13" t="s">
        <v>41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3" t="s">
        <v>42</v>
      </c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6" t="s">
        <v>43</v>
      </c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>
        <v>3</v>
      </c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>
        <f t="shared" si="0"/>
        <v>1248000</v>
      </c>
      <c r="CU30" s="16"/>
      <c r="CV30" s="16"/>
      <c r="CW30" s="16"/>
      <c r="CX30" s="16"/>
      <c r="CY30" s="16"/>
      <c r="CZ30" s="16"/>
      <c r="DA30" s="16"/>
      <c r="DB30" s="16"/>
      <c r="DC30" s="16"/>
    </row>
    <row r="31" spans="2:107" ht="15" customHeight="1">
      <c r="B31" s="15" t="s">
        <v>44</v>
      </c>
      <c r="C31" s="15"/>
      <c r="D31" s="15"/>
      <c r="E31" s="15"/>
      <c r="F31" s="15"/>
      <c r="G31" s="15"/>
      <c r="H31" s="15"/>
      <c r="I31" s="15"/>
      <c r="J31" s="15"/>
      <c r="K31" s="15"/>
      <c r="L31" s="13" t="s">
        <v>45</v>
      </c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3" t="s">
        <v>46</v>
      </c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6" t="s">
        <v>47</v>
      </c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>
        <v>4</v>
      </c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>
        <f t="shared" si="0"/>
        <v>320000</v>
      </c>
      <c r="CU31" s="16"/>
      <c r="CV31" s="16"/>
      <c r="CW31" s="16"/>
      <c r="CX31" s="16"/>
      <c r="CY31" s="16"/>
      <c r="CZ31" s="16"/>
      <c r="DA31" s="16"/>
      <c r="DB31" s="16"/>
      <c r="DC31" s="16"/>
    </row>
    <row r="32" spans="2:107" ht="15" customHeight="1">
      <c r="B32" s="15" t="s">
        <v>48</v>
      </c>
      <c r="C32" s="15"/>
      <c r="D32" s="15"/>
      <c r="E32" s="15"/>
      <c r="F32" s="15"/>
      <c r="G32" s="15"/>
      <c r="H32" s="15"/>
      <c r="I32" s="15"/>
      <c r="J32" s="15"/>
      <c r="K32" s="15"/>
      <c r="L32" s="13" t="s">
        <v>45</v>
      </c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3" t="s">
        <v>49</v>
      </c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6" t="s">
        <v>50</v>
      </c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>
        <v>1</v>
      </c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>
        <f t="shared" si="0"/>
        <v>14000</v>
      </c>
      <c r="CU32" s="16"/>
      <c r="CV32" s="16"/>
      <c r="CW32" s="16"/>
      <c r="CX32" s="16"/>
      <c r="CY32" s="16"/>
      <c r="CZ32" s="16"/>
      <c r="DA32" s="16"/>
      <c r="DB32" s="16"/>
      <c r="DC32" s="16"/>
    </row>
    <row r="33" spans="2:107" ht="15" customHeight="1">
      <c r="B33" s="15" t="s">
        <v>51</v>
      </c>
      <c r="C33" s="15"/>
      <c r="D33" s="15"/>
      <c r="E33" s="15"/>
      <c r="F33" s="15"/>
      <c r="G33" s="15"/>
      <c r="H33" s="15"/>
      <c r="I33" s="15"/>
      <c r="J33" s="15"/>
      <c r="K33" s="15"/>
      <c r="L33" s="13" t="s">
        <v>52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3" t="s">
        <v>53</v>
      </c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6" t="s">
        <v>54</v>
      </c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>
        <v>2</v>
      </c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>
        <f t="shared" si="0"/>
        <v>3080000</v>
      </c>
      <c r="CU33" s="16"/>
      <c r="CV33" s="16"/>
      <c r="CW33" s="16"/>
      <c r="CX33" s="16"/>
      <c r="CY33" s="16"/>
      <c r="CZ33" s="16"/>
      <c r="DA33" s="16"/>
      <c r="DB33" s="16"/>
      <c r="DC33" s="16"/>
    </row>
    <row r="34" spans="2:107" ht="15" customHeight="1">
      <c r="B34" s="15" t="s">
        <v>40</v>
      </c>
      <c r="C34" s="15"/>
      <c r="D34" s="15"/>
      <c r="E34" s="15"/>
      <c r="F34" s="15"/>
      <c r="G34" s="15"/>
      <c r="H34" s="15"/>
      <c r="I34" s="15"/>
      <c r="J34" s="15"/>
      <c r="K34" s="15"/>
      <c r="L34" s="13" t="s">
        <v>55</v>
      </c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3" t="s">
        <v>56</v>
      </c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6" t="s">
        <v>57</v>
      </c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>
        <v>3</v>
      </c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>
        <f t="shared" si="0"/>
        <v>12204000</v>
      </c>
      <c r="CU34" s="16"/>
      <c r="CV34" s="16"/>
      <c r="CW34" s="16"/>
      <c r="CX34" s="16"/>
      <c r="CY34" s="16"/>
      <c r="CZ34" s="16"/>
      <c r="DA34" s="16"/>
      <c r="DB34" s="16"/>
      <c r="DC34" s="16"/>
    </row>
    <row r="35" spans="2:107" ht="15" customHeight="1">
      <c r="B35" s="15" t="s">
        <v>51</v>
      </c>
      <c r="C35" s="15"/>
      <c r="D35" s="15"/>
      <c r="E35" s="15"/>
      <c r="F35" s="15"/>
      <c r="G35" s="15"/>
      <c r="H35" s="15"/>
      <c r="I35" s="15"/>
      <c r="J35" s="15"/>
      <c r="K35" s="15"/>
      <c r="L35" s="13" t="s">
        <v>55</v>
      </c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3" t="s">
        <v>58</v>
      </c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6" t="s">
        <v>59</v>
      </c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>
        <v>4</v>
      </c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>
        <f t="shared" si="0"/>
        <v>1056000</v>
      </c>
      <c r="CU35" s="16"/>
      <c r="CV35" s="16"/>
      <c r="CW35" s="16"/>
      <c r="CX35" s="16"/>
      <c r="CY35" s="16"/>
      <c r="CZ35" s="16"/>
      <c r="DA35" s="16"/>
      <c r="DB35" s="16"/>
      <c r="DC35" s="16"/>
    </row>
    <row r="36" spans="2:107" ht="15" customHeight="1">
      <c r="B36" s="15" t="s">
        <v>60</v>
      </c>
      <c r="C36" s="15"/>
      <c r="D36" s="15"/>
      <c r="E36" s="15"/>
      <c r="F36" s="15"/>
      <c r="G36" s="15"/>
      <c r="H36" s="15"/>
      <c r="I36" s="15"/>
      <c r="J36" s="15"/>
      <c r="K36" s="15"/>
      <c r="L36" s="13" t="s">
        <v>61</v>
      </c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3" t="s">
        <v>62</v>
      </c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6" t="s">
        <v>63</v>
      </c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>
        <v>1</v>
      </c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>
        <f t="shared" si="0"/>
        <v>8920000</v>
      </c>
      <c r="CU36" s="16"/>
      <c r="CV36" s="16"/>
      <c r="CW36" s="16"/>
      <c r="CX36" s="16"/>
      <c r="CY36" s="16"/>
      <c r="CZ36" s="16"/>
      <c r="DA36" s="16"/>
      <c r="DB36" s="16"/>
      <c r="DC36" s="16"/>
    </row>
    <row r="37" spans="2:107" ht="15" customHeight="1">
      <c r="B37" s="15" t="s">
        <v>40</v>
      </c>
      <c r="C37" s="15"/>
      <c r="D37" s="15"/>
      <c r="E37" s="15"/>
      <c r="F37" s="15"/>
      <c r="G37" s="15"/>
      <c r="H37" s="15"/>
      <c r="I37" s="15"/>
      <c r="J37" s="15"/>
      <c r="K37" s="15"/>
      <c r="L37" s="13" t="s">
        <v>64</v>
      </c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3" t="s">
        <v>65</v>
      </c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6" t="s">
        <v>66</v>
      </c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>
        <v>2</v>
      </c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>
        <f t="shared" si="0"/>
        <v>112000</v>
      </c>
      <c r="CU37" s="16"/>
      <c r="CV37" s="16"/>
      <c r="CW37" s="16"/>
      <c r="CX37" s="16"/>
      <c r="CY37" s="16"/>
      <c r="CZ37" s="16"/>
      <c r="DA37" s="16"/>
      <c r="DB37" s="16"/>
      <c r="DC37" s="16"/>
    </row>
    <row r="38" spans="2:107" ht="15" customHeight="1">
      <c r="B38" s="15" t="s">
        <v>67</v>
      </c>
      <c r="C38" s="15"/>
      <c r="D38" s="15"/>
      <c r="E38" s="15"/>
      <c r="F38" s="15"/>
      <c r="G38" s="15"/>
      <c r="H38" s="15"/>
      <c r="I38" s="15"/>
      <c r="J38" s="15"/>
      <c r="K38" s="15"/>
      <c r="L38" s="13" t="s">
        <v>64</v>
      </c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3" t="s">
        <v>65</v>
      </c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6" t="s">
        <v>68</v>
      </c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>
        <v>3</v>
      </c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>
        <f t="shared" si="0"/>
        <v>6516000</v>
      </c>
      <c r="CU38" s="16"/>
      <c r="CV38" s="16"/>
      <c r="CW38" s="16"/>
      <c r="CX38" s="16"/>
      <c r="CY38" s="16"/>
      <c r="CZ38" s="16"/>
      <c r="DA38" s="16"/>
      <c r="DB38" s="16"/>
      <c r="DC38" s="16"/>
    </row>
    <row r="39" spans="2:107" ht="15" customHeight="1">
      <c r="B39" s="15" t="s">
        <v>69</v>
      </c>
      <c r="C39" s="15"/>
      <c r="D39" s="15"/>
      <c r="E39" s="15"/>
      <c r="F39" s="15"/>
      <c r="G39" s="15"/>
      <c r="H39" s="15"/>
      <c r="I39" s="15"/>
      <c r="J39" s="15"/>
      <c r="K39" s="15"/>
      <c r="L39" s="13" t="s">
        <v>70</v>
      </c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3" t="s">
        <v>62</v>
      </c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6" t="s">
        <v>71</v>
      </c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>
        <v>4</v>
      </c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>
        <f t="shared" si="0"/>
        <v>520000</v>
      </c>
      <c r="CU39" s="16"/>
      <c r="CV39" s="16"/>
      <c r="CW39" s="16"/>
      <c r="CX39" s="16"/>
      <c r="CY39" s="16"/>
      <c r="CZ39" s="16"/>
      <c r="DA39" s="16"/>
      <c r="DB39" s="16"/>
      <c r="DC39" s="16"/>
    </row>
    <row r="40" spans="2:107" ht="15" customHeight="1">
      <c r="B40" s="15" t="s">
        <v>40</v>
      </c>
      <c r="C40" s="15"/>
      <c r="D40" s="15"/>
      <c r="E40" s="15"/>
      <c r="F40" s="15"/>
      <c r="G40" s="15"/>
      <c r="H40" s="15"/>
      <c r="I40" s="15"/>
      <c r="J40" s="15"/>
      <c r="K40" s="15"/>
      <c r="L40" s="13" t="s">
        <v>72</v>
      </c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3" t="s">
        <v>73</v>
      </c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6" t="s">
        <v>74</v>
      </c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>
        <v>1</v>
      </c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>
        <f t="shared" si="0"/>
        <v>94000</v>
      </c>
      <c r="CU40" s="16"/>
      <c r="CV40" s="16"/>
      <c r="CW40" s="16"/>
      <c r="CX40" s="16"/>
      <c r="CY40" s="16"/>
      <c r="CZ40" s="16"/>
      <c r="DA40" s="16"/>
      <c r="DB40" s="16"/>
      <c r="DC40" s="16"/>
    </row>
    <row r="41" spans="2:107" ht="15" customHeight="1">
      <c r="B41" s="15" t="s">
        <v>40</v>
      </c>
      <c r="C41" s="15"/>
      <c r="D41" s="15"/>
      <c r="E41" s="15"/>
      <c r="F41" s="15"/>
      <c r="G41" s="15"/>
      <c r="H41" s="15"/>
      <c r="I41" s="15"/>
      <c r="J41" s="15"/>
      <c r="K41" s="15"/>
      <c r="L41" s="13" t="s">
        <v>75</v>
      </c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3" t="s">
        <v>76</v>
      </c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6" t="s">
        <v>77</v>
      </c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>
        <v>2</v>
      </c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>
        <f t="shared" si="0"/>
        <v>2000</v>
      </c>
      <c r="CU41" s="16"/>
      <c r="CV41" s="16"/>
      <c r="CW41" s="16"/>
      <c r="CX41" s="16"/>
      <c r="CY41" s="16"/>
      <c r="CZ41" s="16"/>
      <c r="DA41" s="16"/>
      <c r="DB41" s="16"/>
      <c r="DC41" s="16"/>
    </row>
    <row r="42" spans="2:107" ht="18.75" customHeight="1">
      <c r="G42" s="18" t="s">
        <v>78</v>
      </c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20" t="s">
        <v>79</v>
      </c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>
        <f>SUM(CT28:DC41)</f>
        <v>34618000</v>
      </c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</row>
    <row r="43" spans="2:107" ht="15" customHeight="1"/>
    <row r="44" spans="2:107" ht="15" customHeight="1"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</row>
    <row r="45" spans="2:107" ht="7.5" customHeight="1"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</row>
    <row r="46" spans="2:107" ht="6" customHeight="1"/>
    <row r="47" spans="2:107" ht="13.5" customHeight="1"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</row>
    <row r="48" spans="2:107" ht="2.25" customHeight="1"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</row>
    <row r="49" spans="7:116" ht="15.75" customHeight="1"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</row>
    <row r="50" spans="7:116" ht="15.75" customHeight="1"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DL50" t="s">
        <v>80</v>
      </c>
    </row>
    <row r="51" spans="7:116" ht="12" customHeight="1"/>
    <row r="52" spans="7:116" ht="30" customHeight="1">
      <c r="G52" s="23" t="s">
        <v>81</v>
      </c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4" t="s">
        <v>82</v>
      </c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</row>
    <row r="53" spans="7:116" ht="15" customHeight="1">
      <c r="G53" s="25"/>
      <c r="H53" s="25"/>
      <c r="I53" s="25"/>
      <c r="J53" s="25"/>
      <c r="K53" s="25"/>
      <c r="L53" s="25"/>
      <c r="M53" s="25"/>
      <c r="N53" s="25"/>
      <c r="O53" s="25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</row>
    <row r="54" spans="7:116" ht="3" customHeight="1"/>
    <row r="55" spans="7:116" ht="7.5" customHeight="1"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</row>
    <row r="56" spans="7:116" ht="7.5" customHeight="1"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</row>
    <row r="57" spans="7:116" ht="7.5" customHeight="1"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</row>
    <row r="58" spans="7:116" ht="7.5" customHeight="1"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</row>
    <row r="59" spans="7:116" ht="7.5" customHeight="1"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</row>
    <row r="60" spans="7:116" ht="7.5" customHeight="1"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</row>
    <row r="61" spans="7:116" ht="7.5" customHeight="1"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</row>
    <row r="62" spans="7:116" ht="7.5" customHeight="1"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</row>
    <row r="63" spans="7:116" ht="7.5" customHeight="1"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</row>
    <row r="64" spans="7:116" ht="7.5" customHeight="1"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</row>
    <row r="65" spans="42:75" ht="7.5" customHeight="1"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</row>
    <row r="66" spans="42:75" ht="7.5" customHeight="1"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</row>
    <row r="67" spans="42:75" ht="7.5" customHeight="1"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</row>
    <row r="68" spans="42:75" ht="7.5" customHeight="1"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</row>
    <row r="69" spans="42:75" ht="7.5" customHeight="1"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</row>
    <row r="70" spans="42:75" ht="7.5" customHeight="1"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</row>
    <row r="71" spans="42:75" ht="7.5" customHeight="1"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</row>
    <row r="72" spans="42:75" ht="7.5" customHeight="1"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</row>
    <row r="73" spans="42:75" ht="7.5" customHeight="1"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</row>
    <row r="74" spans="42:75" ht="7.5" customHeight="1"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</row>
    <row r="75" spans="42:75" ht="7.5" customHeight="1"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</row>
    <row r="76" spans="42:75" ht="7.5" customHeight="1"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</row>
    <row r="77" spans="42:75" ht="7.5" customHeight="1"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</row>
    <row r="78" spans="42:75" ht="7.5" customHeight="1"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</row>
    <row r="79" spans="42:75" ht="7.5" customHeight="1"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</row>
    <row r="80" spans="42:75" ht="7.5" customHeight="1"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</row>
    <row r="81" spans="42:75" ht="7.5" customHeight="1"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</row>
    <row r="82" spans="42:75" ht="7.5" customHeight="1"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</row>
    <row r="83" spans="42:75" ht="7.5" customHeight="1"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</row>
    <row r="84" spans="42:75" ht="7.5" customHeight="1"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</row>
    <row r="85" spans="42:75" ht="7.5" customHeight="1"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</row>
    <row r="86" spans="42:75" ht="7.5" customHeight="1"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</row>
    <row r="87" spans="42:75" ht="7.5" customHeight="1"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</row>
    <row r="88" spans="42:75" ht="7.5" customHeight="1"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</row>
    <row r="89" spans="42:75" ht="7.5" customHeight="1"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</row>
    <row r="90" spans="42:75" ht="7.5" customHeight="1"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</row>
    <row r="91" spans="42:75" ht="7.5" customHeight="1"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</row>
    <row r="92" spans="42:75" ht="7.5" customHeight="1"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</row>
    <row r="93" spans="42:75" ht="7.5" customHeight="1"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</row>
    <row r="94" spans="42:75" ht="7.5" customHeight="1"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</row>
    <row r="95" spans="42:75" ht="7.5" customHeight="1"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</row>
    <row r="96" spans="42:75" ht="7.5" customHeight="1"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</row>
    <row r="97" spans="42:75" ht="7.5" customHeight="1"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</row>
    <row r="98" spans="42:75" ht="7.5" customHeight="1"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</row>
    <row r="99" spans="42:75" ht="7.5" customHeight="1"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</row>
    <row r="100" spans="42:75" ht="7.5" customHeight="1"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</row>
    <row r="101" spans="42:75" ht="7.5" customHeight="1"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</row>
    <row r="102" spans="42:75" ht="7.5" customHeight="1"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</row>
    <row r="103" spans="42:75" ht="7.5" customHeight="1"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</row>
    <row r="104" spans="42:75" ht="7.5" customHeight="1"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</row>
    <row r="105" spans="42:75" ht="7.5" customHeight="1"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</row>
    <row r="106" spans="42:75" ht="7.5" customHeight="1"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</row>
    <row r="107" spans="42:75" ht="7.5" customHeight="1"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</row>
    <row r="108" spans="42:75" ht="7.5" customHeight="1"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</row>
    <row r="109" spans="42:75" ht="7.5" customHeight="1"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</row>
    <row r="110" spans="42:75" ht="7.5" customHeight="1"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</row>
    <row r="111" spans="42:75" ht="7.5" customHeight="1"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</row>
    <row r="112" spans="42:75" ht="7.5" customHeight="1"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</row>
    <row r="113" spans="42:75" ht="7.5" customHeight="1"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</row>
    <row r="114" spans="42:75" ht="7.5" customHeight="1"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</row>
    <row r="115" spans="42:75" ht="7.5" customHeight="1"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</row>
    <row r="116" spans="42:75" ht="7.5" customHeight="1"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</row>
    <row r="117" spans="42:75" ht="7.5" customHeight="1"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</row>
    <row r="118" spans="42:75" ht="7.5" customHeight="1"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</row>
    <row r="119" spans="42:75" ht="7.5" customHeight="1"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</row>
    <row r="120" spans="42:75" ht="7.5" customHeight="1"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</row>
    <row r="121" spans="42:75" ht="7.5" customHeight="1"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</row>
    <row r="122" spans="42:75" ht="7.5" customHeight="1"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</row>
    <row r="123" spans="42:75" ht="7.5" customHeight="1"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</row>
    <row r="124" spans="42:75" ht="7.5" customHeight="1"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</row>
    <row r="125" spans="42:75" ht="7.5" customHeight="1"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</row>
    <row r="126" spans="42:75" ht="7.5" customHeight="1"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</row>
    <row r="127" spans="42:75" ht="7.5" customHeight="1"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</row>
    <row r="128" spans="42:75" ht="7.5" customHeight="1"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</row>
    <row r="129" spans="42:75" ht="7.5" customHeight="1"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</row>
    <row r="130" spans="42:75" ht="7.5" customHeight="1"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</row>
    <row r="131" spans="42:75" ht="7.5" customHeight="1"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</row>
    <row r="132" spans="42:75" ht="7.5" customHeight="1"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</row>
    <row r="133" spans="42:75" ht="7.5" customHeight="1"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</row>
    <row r="134" spans="42:75" ht="7.5" customHeight="1"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</row>
    <row r="135" spans="42:75" ht="7.5" customHeight="1"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</row>
    <row r="136" spans="42:75" ht="7.5" customHeight="1"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</row>
    <row r="137" spans="42:75" ht="7.5" customHeight="1"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</row>
    <row r="138" spans="42:75" ht="7.5" customHeight="1"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</row>
    <row r="139" spans="42:75" ht="7.5" customHeight="1"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</row>
    <row r="140" spans="42:75" ht="7.5" customHeight="1"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</row>
    <row r="141" spans="42:75" ht="7.5" customHeight="1"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</row>
    <row r="142" spans="42:75" ht="7.5" customHeight="1"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</row>
    <row r="143" spans="42:75" ht="7.5" customHeight="1"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</row>
    <row r="144" spans="42:75" ht="7.5" customHeight="1"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</row>
    <row r="145" spans="7:116" ht="7.5" customHeight="1"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</row>
    <row r="146" spans="7:116" ht="7.5" customHeight="1"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</row>
    <row r="147" spans="7:116" ht="7.5" customHeight="1"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</row>
    <row r="148" spans="7:116" ht="7.5" customHeight="1"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</row>
    <row r="149" spans="7:116" ht="7.5" customHeight="1"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</row>
    <row r="150" spans="7:116" ht="7.5" customHeight="1"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</row>
    <row r="151" spans="7:116" ht="7.5" customHeight="1"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</row>
    <row r="152" spans="7:116" ht="0.75" customHeight="1"/>
    <row r="153" spans="7:116" ht="15.75" customHeight="1"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</row>
    <row r="154" spans="7:116" ht="15.75" customHeight="1"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</row>
    <row r="155" spans="7:116" ht="15.75" customHeight="1"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</row>
    <row r="156" spans="7:116" ht="6.75" customHeight="1">
      <c r="DL156" t="s">
        <v>80</v>
      </c>
    </row>
    <row r="157" spans="7:116" ht="12" customHeight="1"/>
    <row r="158" spans="7:116" ht="30" customHeight="1">
      <c r="G158" s="23" t="s">
        <v>81</v>
      </c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4" t="s">
        <v>83</v>
      </c>
      <c r="CK158" s="24"/>
      <c r="CL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C158" s="24"/>
    </row>
    <row r="159" spans="7:116" ht="15" customHeight="1">
      <c r="G159" s="25"/>
      <c r="H159" s="25"/>
      <c r="I159" s="25"/>
      <c r="J159" s="25"/>
      <c r="K159" s="25"/>
      <c r="L159" s="25"/>
      <c r="M159" s="25"/>
      <c r="N159" s="25"/>
      <c r="O159" s="25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9"/>
      <c r="CE159" s="19"/>
      <c r="CF159" s="19"/>
      <c r="CG159" s="19"/>
      <c r="CH159" s="19"/>
      <c r="CI159" s="19"/>
      <c r="CJ159" s="19"/>
      <c r="CK159" s="19"/>
      <c r="CL159" s="19"/>
      <c r="CM159" s="19"/>
      <c r="CN159" s="19"/>
      <c r="CO159" s="19"/>
      <c r="CP159" s="19"/>
      <c r="CQ159" s="19"/>
      <c r="CR159" s="19"/>
      <c r="CS159" s="19"/>
      <c r="CT159" s="19"/>
      <c r="CU159" s="19"/>
      <c r="CV159" s="19"/>
      <c r="CW159" s="19"/>
      <c r="CX159" s="19"/>
      <c r="CY159" s="19"/>
      <c r="CZ159" s="19"/>
      <c r="DA159" s="19"/>
      <c r="DB159" s="19"/>
      <c r="DC159" s="19"/>
    </row>
    <row r="160" spans="7:116" ht="3" customHeight="1"/>
    <row r="161" spans="42:75" ht="7.5" customHeight="1"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</row>
    <row r="162" spans="42:75" ht="7.5" customHeight="1"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</row>
    <row r="163" spans="42:75" ht="7.5" customHeight="1"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</row>
    <row r="164" spans="42:75" ht="7.5" customHeight="1"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</row>
    <row r="165" spans="42:75" ht="7.5" customHeight="1"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</row>
    <row r="166" spans="42:75" ht="7.5" customHeight="1"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</row>
    <row r="167" spans="42:75" ht="7.5" customHeight="1"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</row>
    <row r="168" spans="42:75" ht="7.5" customHeight="1"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</row>
    <row r="169" spans="42:75" ht="7.5" customHeight="1"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</row>
    <row r="170" spans="42:75" ht="7.5" customHeight="1"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</row>
    <row r="171" spans="42:75" ht="7.5" customHeight="1"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</row>
    <row r="172" spans="42:75" ht="7.5" customHeight="1"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</row>
    <row r="173" spans="42:75" ht="7.5" customHeight="1"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</row>
    <row r="174" spans="42:75" ht="7.5" customHeight="1"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</row>
    <row r="175" spans="42:75" ht="7.5" customHeight="1"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</row>
    <row r="176" spans="42:75" ht="7.5" customHeight="1"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</row>
    <row r="177" spans="42:75" ht="7.5" customHeight="1"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</row>
    <row r="178" spans="42:75" ht="7.5" customHeight="1"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</row>
    <row r="179" spans="42:75" ht="7.5" customHeight="1"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</row>
    <row r="180" spans="42:75" ht="7.5" customHeight="1"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</row>
    <row r="181" spans="42:75" ht="7.5" customHeight="1"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</row>
    <row r="182" spans="42:75" ht="7.5" customHeight="1"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</row>
    <row r="183" spans="42:75" ht="7.5" customHeight="1"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</row>
    <row r="184" spans="42:75" ht="7.5" customHeight="1"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</row>
    <row r="185" spans="42:75" ht="7.5" customHeight="1"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</row>
    <row r="186" spans="42:75" ht="7.5" customHeight="1"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</row>
    <row r="187" spans="42:75" ht="7.5" customHeight="1"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</row>
    <row r="188" spans="42:75" ht="7.5" customHeight="1"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</row>
    <row r="189" spans="42:75" ht="7.5" customHeight="1"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</row>
    <row r="190" spans="42:75" ht="7.5" customHeight="1"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</row>
    <row r="191" spans="42:75" ht="7.5" customHeight="1"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</row>
    <row r="192" spans="42:75" ht="7.5" customHeight="1"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</row>
    <row r="193" spans="42:75" ht="7.5" customHeight="1"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</row>
    <row r="194" spans="42:75" ht="7.5" customHeight="1"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</row>
    <row r="195" spans="42:75" ht="7.5" customHeight="1"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</row>
    <row r="196" spans="42:75" ht="7.5" customHeight="1"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</row>
    <row r="197" spans="42:75" ht="7.5" customHeight="1"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</row>
    <row r="198" spans="42:75" ht="7.5" customHeight="1"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</row>
    <row r="199" spans="42:75" ht="7.5" customHeight="1"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</row>
    <row r="200" spans="42:75" ht="7.5" customHeight="1"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</row>
    <row r="201" spans="42:75" ht="7.5" customHeight="1"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</row>
    <row r="202" spans="42:75" ht="7.5" customHeight="1"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</row>
    <row r="203" spans="42:75" ht="7.5" customHeight="1"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</row>
    <row r="204" spans="42:75" ht="7.5" customHeight="1"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</row>
    <row r="205" spans="42:75" ht="7.5" customHeight="1"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</row>
    <row r="206" spans="42:75" ht="7.5" customHeight="1"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</row>
    <row r="207" spans="42:75" ht="7.5" customHeight="1"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</row>
    <row r="208" spans="42:75" ht="7.5" customHeight="1"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</row>
    <row r="209" spans="42:75" ht="7.5" customHeight="1"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</row>
    <row r="210" spans="42:75" ht="7.5" customHeight="1"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</row>
    <row r="211" spans="42:75" ht="7.5" customHeight="1"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</row>
    <row r="212" spans="42:75" ht="7.5" customHeight="1"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</row>
    <row r="213" spans="42:75" ht="7.5" customHeight="1"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</row>
    <row r="214" spans="42:75" ht="7.5" customHeight="1"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</row>
    <row r="215" spans="42:75" ht="7.5" customHeight="1"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</row>
    <row r="216" spans="42:75" ht="7.5" customHeight="1"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</row>
    <row r="217" spans="42:75" ht="7.5" customHeight="1"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</row>
    <row r="218" spans="42:75" ht="7.5" customHeight="1"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</row>
    <row r="219" spans="42:75" ht="7.5" customHeight="1"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</row>
    <row r="220" spans="42:75" ht="7.5" customHeight="1"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</row>
    <row r="221" spans="42:75" ht="7.5" customHeight="1"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</row>
    <row r="222" spans="42:75" ht="7.5" customHeight="1"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</row>
    <row r="223" spans="42:75" ht="7.5" customHeight="1"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</row>
    <row r="224" spans="42:75" ht="7.5" customHeight="1"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</row>
    <row r="225" spans="42:75" ht="7.5" customHeight="1"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</row>
    <row r="226" spans="42:75" ht="7.5" customHeight="1"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</row>
    <row r="227" spans="42:75" ht="7.5" customHeight="1"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</row>
    <row r="228" spans="42:75" ht="7.5" customHeight="1"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</row>
    <row r="229" spans="42:75" ht="7.5" customHeight="1"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</row>
    <row r="230" spans="42:75" ht="7.5" customHeight="1"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</row>
    <row r="231" spans="42:75" ht="7.5" customHeight="1"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</row>
    <row r="232" spans="42:75" ht="7.5" customHeight="1"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</row>
    <row r="233" spans="42:75" ht="7.5" customHeight="1"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</row>
    <row r="234" spans="42:75" ht="7.5" customHeight="1"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</row>
    <row r="235" spans="42:75" ht="7.5" customHeight="1"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</row>
    <row r="236" spans="42:75" ht="7.5" customHeight="1"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</row>
    <row r="237" spans="42:75" ht="7.5" customHeight="1"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</row>
    <row r="238" spans="42:75" ht="7.5" customHeight="1"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</row>
    <row r="239" spans="42:75" ht="7.5" customHeight="1"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</row>
    <row r="240" spans="42:75" ht="7.5" customHeight="1"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</row>
    <row r="241" spans="10:116" ht="7.5" customHeight="1"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</row>
    <row r="242" spans="10:116" ht="7.5" customHeight="1"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</row>
    <row r="243" spans="10:116" ht="7.5" customHeight="1"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</row>
    <row r="244" spans="10:116" ht="7.5" customHeight="1"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</row>
    <row r="245" spans="10:116" ht="7.5" customHeight="1"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</row>
    <row r="246" spans="10:116" ht="7.5" customHeight="1"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</row>
    <row r="247" spans="10:116" ht="7.5" customHeight="1"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</row>
    <row r="248" spans="10:116" ht="48.75" customHeight="1"/>
    <row r="249" spans="10:116" ht="20.25" customHeight="1">
      <c r="AN249" s="16" t="s">
        <v>84</v>
      </c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26"/>
      <c r="BR249" s="26"/>
      <c r="BS249" s="26"/>
      <c r="BT249" s="26"/>
      <c r="BU249" s="26"/>
      <c r="BV249" s="26"/>
      <c r="BW249" s="26"/>
      <c r="BX249" s="26"/>
      <c r="BY249" s="26"/>
      <c r="BZ249" s="26"/>
      <c r="CA249" s="26"/>
      <c r="CB249" s="26"/>
      <c r="CC249" s="26"/>
      <c r="CD249" s="26"/>
      <c r="CE249" s="26"/>
      <c r="CF249" s="26"/>
      <c r="CG249" s="26"/>
      <c r="CH249" s="26"/>
      <c r="CI249" s="26"/>
      <c r="CJ249" s="26"/>
      <c r="CK249" s="26"/>
      <c r="CL249" s="26"/>
      <c r="CM249" s="26"/>
      <c r="CN249" s="26"/>
      <c r="CO249" s="26"/>
      <c r="CP249" s="26"/>
      <c r="CQ249" s="26"/>
      <c r="CR249" s="26"/>
      <c r="CS249" s="26"/>
      <c r="CT249" s="26"/>
      <c r="CU249" s="26"/>
      <c r="CV249" s="26"/>
      <c r="CW249" s="26"/>
      <c r="CX249" s="26"/>
      <c r="CY249" s="26"/>
      <c r="CZ249" s="26"/>
      <c r="DA249" s="26"/>
      <c r="DB249" s="26"/>
      <c r="DC249" s="26"/>
    </row>
    <row r="250" spans="10:116" ht="6.75" customHeight="1"/>
    <row r="251" spans="10:116" ht="15.75" customHeight="1"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</row>
    <row r="252" spans="10:116" ht="15.75" customHeight="1"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</row>
    <row r="253" spans="10:116" ht="15.75" customHeight="1"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</row>
    <row r="254" spans="10:116" ht="6.75" customHeight="1">
      <c r="DL254" t="s">
        <v>80</v>
      </c>
    </row>
  </sheetData>
  <mergeCells count="360">
    <mergeCell ref="J252:BA252"/>
    <mergeCell ref="J253:BA253"/>
    <mergeCell ref="AP246:BW246"/>
    <mergeCell ref="AP247:BW247"/>
    <mergeCell ref="AN249:BP249"/>
    <mergeCell ref="BQ249:DC249"/>
    <mergeCell ref="J251:BA251"/>
    <mergeCell ref="AP241:BW241"/>
    <mergeCell ref="AP242:BW242"/>
    <mergeCell ref="AP243:BW243"/>
    <mergeCell ref="AP244:BW244"/>
    <mergeCell ref="AP245:BW245"/>
    <mergeCell ref="AP236:BW236"/>
    <mergeCell ref="AP237:BW237"/>
    <mergeCell ref="AP238:BW238"/>
    <mergeCell ref="AP239:BW239"/>
    <mergeCell ref="AP240:BW240"/>
    <mergeCell ref="AP231:BW231"/>
    <mergeCell ref="AP232:BW232"/>
    <mergeCell ref="AP233:BW233"/>
    <mergeCell ref="AP234:BW234"/>
    <mergeCell ref="AP235:BW235"/>
    <mergeCell ref="AP226:BW226"/>
    <mergeCell ref="AP227:BW227"/>
    <mergeCell ref="AP228:BW228"/>
    <mergeCell ref="AP229:BW229"/>
    <mergeCell ref="AP230:BW230"/>
    <mergeCell ref="AP221:BW221"/>
    <mergeCell ref="AP222:BW222"/>
    <mergeCell ref="AP223:BW223"/>
    <mergeCell ref="AP224:BW224"/>
    <mergeCell ref="AP225:BW225"/>
    <mergeCell ref="AP216:BW216"/>
    <mergeCell ref="AP217:BW217"/>
    <mergeCell ref="AP218:BW218"/>
    <mergeCell ref="AP219:BW219"/>
    <mergeCell ref="AP220:BW220"/>
    <mergeCell ref="AP211:BW211"/>
    <mergeCell ref="AP212:BW212"/>
    <mergeCell ref="AP213:BW213"/>
    <mergeCell ref="AP214:BW214"/>
    <mergeCell ref="AP215:BW215"/>
    <mergeCell ref="AP206:BW206"/>
    <mergeCell ref="AP207:BW207"/>
    <mergeCell ref="AP208:BW208"/>
    <mergeCell ref="AP209:BW209"/>
    <mergeCell ref="AP210:BW210"/>
    <mergeCell ref="AP201:BW201"/>
    <mergeCell ref="AP202:BW202"/>
    <mergeCell ref="AP203:BW203"/>
    <mergeCell ref="AP204:BW204"/>
    <mergeCell ref="AP205:BW205"/>
    <mergeCell ref="AP196:BW196"/>
    <mergeCell ref="AP197:BW197"/>
    <mergeCell ref="AP198:BW198"/>
    <mergeCell ref="AP199:BW199"/>
    <mergeCell ref="AP200:BW200"/>
    <mergeCell ref="AP191:BW191"/>
    <mergeCell ref="AP192:BW192"/>
    <mergeCell ref="AP193:BW193"/>
    <mergeCell ref="AP194:BW194"/>
    <mergeCell ref="AP195:BW195"/>
    <mergeCell ref="AP186:BW186"/>
    <mergeCell ref="AP187:BW187"/>
    <mergeCell ref="AP188:BW188"/>
    <mergeCell ref="AP189:BW189"/>
    <mergeCell ref="AP190:BW190"/>
    <mergeCell ref="AP181:BW181"/>
    <mergeCell ref="AP182:BW182"/>
    <mergeCell ref="AP183:BW183"/>
    <mergeCell ref="AP184:BW184"/>
    <mergeCell ref="AP185:BW185"/>
    <mergeCell ref="AP176:BW176"/>
    <mergeCell ref="AP177:BW177"/>
    <mergeCell ref="AP178:BW178"/>
    <mergeCell ref="AP179:BW179"/>
    <mergeCell ref="AP180:BW180"/>
    <mergeCell ref="AP171:BW171"/>
    <mergeCell ref="AP172:BW172"/>
    <mergeCell ref="AP173:BW173"/>
    <mergeCell ref="AP174:BW174"/>
    <mergeCell ref="AP175:BW175"/>
    <mergeCell ref="AP166:BW166"/>
    <mergeCell ref="AP167:BW167"/>
    <mergeCell ref="AP168:BW168"/>
    <mergeCell ref="AP169:BW169"/>
    <mergeCell ref="AP170:BW170"/>
    <mergeCell ref="AP161:BW161"/>
    <mergeCell ref="AP162:BW162"/>
    <mergeCell ref="AP163:BW163"/>
    <mergeCell ref="AP164:BW164"/>
    <mergeCell ref="AP165:BW165"/>
    <mergeCell ref="G158:CI158"/>
    <mergeCell ref="CJ158:DC158"/>
    <mergeCell ref="G159:O159"/>
    <mergeCell ref="P159:CI159"/>
    <mergeCell ref="CJ159:DC159"/>
    <mergeCell ref="AP150:BW150"/>
    <mergeCell ref="AP151:BW151"/>
    <mergeCell ref="J153:BA153"/>
    <mergeCell ref="J154:BA154"/>
    <mergeCell ref="J155:BA155"/>
    <mergeCell ref="AP145:BW145"/>
    <mergeCell ref="AP146:BW146"/>
    <mergeCell ref="AP147:BW147"/>
    <mergeCell ref="AP148:BW148"/>
    <mergeCell ref="AP149:BW149"/>
    <mergeCell ref="AP140:BW140"/>
    <mergeCell ref="AP141:BW141"/>
    <mergeCell ref="AP142:BW142"/>
    <mergeCell ref="AP143:BW143"/>
    <mergeCell ref="AP144:BW144"/>
    <mergeCell ref="AP135:BW135"/>
    <mergeCell ref="AP136:BW136"/>
    <mergeCell ref="AP137:BW137"/>
    <mergeCell ref="AP138:BW138"/>
    <mergeCell ref="AP139:BW139"/>
    <mergeCell ref="AP130:BW130"/>
    <mergeCell ref="AP131:BW131"/>
    <mergeCell ref="AP132:BW132"/>
    <mergeCell ref="AP133:BW133"/>
    <mergeCell ref="AP134:BW134"/>
    <mergeCell ref="AP125:BW125"/>
    <mergeCell ref="AP126:BW126"/>
    <mergeCell ref="AP127:BW127"/>
    <mergeCell ref="AP128:BW128"/>
    <mergeCell ref="AP129:BW129"/>
    <mergeCell ref="AP120:BW120"/>
    <mergeCell ref="AP121:BW121"/>
    <mergeCell ref="AP122:BW122"/>
    <mergeCell ref="AP123:BW123"/>
    <mergeCell ref="AP124:BW124"/>
    <mergeCell ref="AP115:BW115"/>
    <mergeCell ref="AP116:BW116"/>
    <mergeCell ref="AP117:BW117"/>
    <mergeCell ref="AP118:BW118"/>
    <mergeCell ref="AP119:BW119"/>
    <mergeCell ref="AP110:BW110"/>
    <mergeCell ref="AP111:BW111"/>
    <mergeCell ref="AP112:BW112"/>
    <mergeCell ref="AP113:BW113"/>
    <mergeCell ref="AP114:BW114"/>
    <mergeCell ref="AP105:BW105"/>
    <mergeCell ref="AP106:BW106"/>
    <mergeCell ref="AP107:BW107"/>
    <mergeCell ref="AP108:BW108"/>
    <mergeCell ref="AP109:BW109"/>
    <mergeCell ref="AP100:BW100"/>
    <mergeCell ref="AP101:BW101"/>
    <mergeCell ref="AP102:BW102"/>
    <mergeCell ref="AP103:BW103"/>
    <mergeCell ref="AP104:BW104"/>
    <mergeCell ref="AP95:BW95"/>
    <mergeCell ref="AP96:BW96"/>
    <mergeCell ref="AP97:BW97"/>
    <mergeCell ref="AP98:BW98"/>
    <mergeCell ref="AP99:BW99"/>
    <mergeCell ref="AP90:BW90"/>
    <mergeCell ref="AP91:BW91"/>
    <mergeCell ref="AP92:BW92"/>
    <mergeCell ref="AP93:BW93"/>
    <mergeCell ref="AP94:BW94"/>
    <mergeCell ref="AP85:BW85"/>
    <mergeCell ref="AP86:BW86"/>
    <mergeCell ref="AP87:BW87"/>
    <mergeCell ref="AP88:BW88"/>
    <mergeCell ref="AP89:BW89"/>
    <mergeCell ref="AP80:BW80"/>
    <mergeCell ref="AP81:BW81"/>
    <mergeCell ref="AP82:BW82"/>
    <mergeCell ref="AP83:BW83"/>
    <mergeCell ref="AP84:BW84"/>
    <mergeCell ref="AP75:BW75"/>
    <mergeCell ref="AP76:BW76"/>
    <mergeCell ref="AP77:BW77"/>
    <mergeCell ref="AP78:BW78"/>
    <mergeCell ref="AP79:BW79"/>
    <mergeCell ref="AP70:BW70"/>
    <mergeCell ref="AP71:BW71"/>
    <mergeCell ref="AP72:BW72"/>
    <mergeCell ref="AP73:BW73"/>
    <mergeCell ref="AP74:BW74"/>
    <mergeCell ref="AP65:BW65"/>
    <mergeCell ref="AP66:BW66"/>
    <mergeCell ref="AP67:BW67"/>
    <mergeCell ref="AP68:BW68"/>
    <mergeCell ref="AP69:BW69"/>
    <mergeCell ref="AP60:BW60"/>
    <mergeCell ref="AP61:BW61"/>
    <mergeCell ref="AP62:BW62"/>
    <mergeCell ref="AP63:BW63"/>
    <mergeCell ref="AP64:BW64"/>
    <mergeCell ref="AP55:BW55"/>
    <mergeCell ref="AP56:BW56"/>
    <mergeCell ref="AP57:BW57"/>
    <mergeCell ref="AP58:BW58"/>
    <mergeCell ref="AP59:BW59"/>
    <mergeCell ref="J49:BA49"/>
    <mergeCell ref="J50:BA50"/>
    <mergeCell ref="G52:CI52"/>
    <mergeCell ref="CJ52:DC52"/>
    <mergeCell ref="G53:O53"/>
    <mergeCell ref="P53:CI53"/>
    <mergeCell ref="CJ53:DC53"/>
    <mergeCell ref="CD42:CN42"/>
    <mergeCell ref="CO42:DC42"/>
    <mergeCell ref="G44:DC44"/>
    <mergeCell ref="AP45:BW45"/>
    <mergeCell ref="J47:BA48"/>
    <mergeCell ref="G42:S42"/>
    <mergeCell ref="T42:AD42"/>
    <mergeCell ref="AE42:AW42"/>
    <mergeCell ref="AX42:BK42"/>
    <mergeCell ref="BL42:CC42"/>
    <mergeCell ref="CE40:CS40"/>
    <mergeCell ref="CT40:DC40"/>
    <mergeCell ref="B41:K41"/>
    <mergeCell ref="L41:AB41"/>
    <mergeCell ref="AC41:AS41"/>
    <mergeCell ref="AT41:BP41"/>
    <mergeCell ref="BQ41:CD41"/>
    <mergeCell ref="CE41:CS41"/>
    <mergeCell ref="CT41:DC41"/>
    <mergeCell ref="B40:K40"/>
    <mergeCell ref="L40:AB40"/>
    <mergeCell ref="AC40:AS40"/>
    <mergeCell ref="AT40:BP40"/>
    <mergeCell ref="BQ40:CD40"/>
    <mergeCell ref="CE38:CS38"/>
    <mergeCell ref="CT38:DC38"/>
    <mergeCell ref="B39:K39"/>
    <mergeCell ref="L39:AB39"/>
    <mergeCell ref="AC39:AS39"/>
    <mergeCell ref="AT39:BP39"/>
    <mergeCell ref="BQ39:CD39"/>
    <mergeCell ref="CE39:CS39"/>
    <mergeCell ref="CT39:DC39"/>
    <mergeCell ref="B38:K38"/>
    <mergeCell ref="L38:AB38"/>
    <mergeCell ref="AC38:AS38"/>
    <mergeCell ref="AT38:BP38"/>
    <mergeCell ref="BQ38:CD38"/>
    <mergeCell ref="CE36:CS36"/>
    <mergeCell ref="CT36:DC36"/>
    <mergeCell ref="B37:K37"/>
    <mergeCell ref="L37:AB37"/>
    <mergeCell ref="AC37:AS37"/>
    <mergeCell ref="AT37:BP37"/>
    <mergeCell ref="BQ37:CD37"/>
    <mergeCell ref="CE37:CS37"/>
    <mergeCell ref="CT37:DC37"/>
    <mergeCell ref="B36:K36"/>
    <mergeCell ref="L36:AB36"/>
    <mergeCell ref="AC36:AS36"/>
    <mergeCell ref="AT36:BP36"/>
    <mergeCell ref="BQ36:CD36"/>
    <mergeCell ref="CE34:CS34"/>
    <mergeCell ref="CT34:DC34"/>
    <mergeCell ref="B35:K35"/>
    <mergeCell ref="L35:AB35"/>
    <mergeCell ref="AC35:AS35"/>
    <mergeCell ref="AT35:BP35"/>
    <mergeCell ref="BQ35:CD35"/>
    <mergeCell ref="CE35:CS35"/>
    <mergeCell ref="CT35:DC35"/>
    <mergeCell ref="B34:K34"/>
    <mergeCell ref="L34:AB34"/>
    <mergeCell ref="AC34:AS34"/>
    <mergeCell ref="AT34:BP34"/>
    <mergeCell ref="BQ34:CD34"/>
    <mergeCell ref="CE32:CS32"/>
    <mergeCell ref="CT32:DC32"/>
    <mergeCell ref="B33:K33"/>
    <mergeCell ref="L33:AB33"/>
    <mergeCell ref="AC33:AS33"/>
    <mergeCell ref="AT33:BP33"/>
    <mergeCell ref="BQ33:CD33"/>
    <mergeCell ref="CE33:CS33"/>
    <mergeCell ref="CT33:DC33"/>
    <mergeCell ref="B32:K32"/>
    <mergeCell ref="L32:AB32"/>
    <mergeCell ref="AC32:AS32"/>
    <mergeCell ref="AT32:BP32"/>
    <mergeCell ref="BQ32:CD32"/>
    <mergeCell ref="CE30:CS30"/>
    <mergeCell ref="CT30:DC30"/>
    <mergeCell ref="B31:K31"/>
    <mergeCell ref="L31:AB31"/>
    <mergeCell ref="AC31:AS31"/>
    <mergeCell ref="AT31:BP31"/>
    <mergeCell ref="BQ31:CD31"/>
    <mergeCell ref="CE31:CS31"/>
    <mergeCell ref="CT31:DC31"/>
    <mergeCell ref="B30:K30"/>
    <mergeCell ref="L30:AB30"/>
    <mergeCell ref="AC30:AS30"/>
    <mergeCell ref="AT30:BP30"/>
    <mergeCell ref="BQ30:CD30"/>
    <mergeCell ref="CE28:CS28"/>
    <mergeCell ref="CT28:DC28"/>
    <mergeCell ref="B29:K29"/>
    <mergeCell ref="L29:AB29"/>
    <mergeCell ref="AC29:AS29"/>
    <mergeCell ref="AT29:BP29"/>
    <mergeCell ref="BQ29:CD29"/>
    <mergeCell ref="CE29:CS29"/>
    <mergeCell ref="CT29:DC29"/>
    <mergeCell ref="B28:K28"/>
    <mergeCell ref="L28:AB28"/>
    <mergeCell ref="AC28:AS28"/>
    <mergeCell ref="AT28:BP28"/>
    <mergeCell ref="BQ28:CD28"/>
    <mergeCell ref="G24:DC24"/>
    <mergeCell ref="BE25:DC25"/>
    <mergeCell ref="C26:DC26"/>
    <mergeCell ref="B27:K27"/>
    <mergeCell ref="L27:AB27"/>
    <mergeCell ref="AC27:AS27"/>
    <mergeCell ref="AT27:BP27"/>
    <mergeCell ref="BQ27:CD27"/>
    <mergeCell ref="CE27:CS27"/>
    <mergeCell ref="CT27:DC27"/>
    <mergeCell ref="G22:AI22"/>
    <mergeCell ref="AJ22:BF22"/>
    <mergeCell ref="BG22:BZ22"/>
    <mergeCell ref="CA22:CL22"/>
    <mergeCell ref="CM22:CZ22"/>
    <mergeCell ref="F17:Z17"/>
    <mergeCell ref="AA17:BC17"/>
    <mergeCell ref="BD17:CK17"/>
    <mergeCell ref="CL17:DB17"/>
    <mergeCell ref="F18:Z20"/>
    <mergeCell ref="AA18:BC20"/>
    <mergeCell ref="BD18:BU18"/>
    <mergeCell ref="BV18:CK18"/>
    <mergeCell ref="CL18:DB18"/>
    <mergeCell ref="BD19:BU19"/>
    <mergeCell ref="BV19:DB19"/>
    <mergeCell ref="BD20:BU20"/>
    <mergeCell ref="BV20:DB20"/>
    <mergeCell ref="F13:BC13"/>
    <mergeCell ref="BD13:DB16"/>
    <mergeCell ref="F14:BC14"/>
    <mergeCell ref="F15:Z15"/>
    <mergeCell ref="AA15:BC15"/>
    <mergeCell ref="F16:Z16"/>
    <mergeCell ref="AA16:BC16"/>
    <mergeCell ref="F10:BC10"/>
    <mergeCell ref="BD10:DB10"/>
    <mergeCell ref="F11:BC12"/>
    <mergeCell ref="BD11:DB11"/>
    <mergeCell ref="BD12:DB12"/>
    <mergeCell ref="G4:BD4"/>
    <mergeCell ref="BE4:DC4"/>
    <mergeCell ref="F6:BC6"/>
    <mergeCell ref="BD6:DB6"/>
    <mergeCell ref="F7:BC9"/>
    <mergeCell ref="BD7:DB7"/>
    <mergeCell ref="BD8:DB8"/>
    <mergeCell ref="BD9:DB9"/>
  </mergeCells>
  <phoneticPr fontId="27" type="noConversion"/>
  <pageMargins left="0.7" right="0.7" top="0.75" bottom="0.75" header="0" footer="0"/>
  <pageSetup paperSize="9" fitToHeight="0" orientation="portrait" r:id="rId1"/>
  <rowBreaks count="3" manualBreakCount="3">
    <brk id="50" max="16383" man="1"/>
    <brk id="156" max="16383" man="1"/>
    <brk id="25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LEIV001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张巍</cp:lastModifiedBy>
  <dcterms:created xsi:type="dcterms:W3CDTF">2026-05-14T01:10:45Z</dcterms:created>
  <dcterms:modified xsi:type="dcterms:W3CDTF">2026-05-19T05:23:15Z</dcterms:modified>
</cp:coreProperties>
</file>