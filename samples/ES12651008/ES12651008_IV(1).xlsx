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当前主要业务\相关资料\自动化录入功能测试\"/>
    </mc:Choice>
  </mc:AlternateContent>
  <bookViews>
    <workbookView xWindow="0" yWindow="0" windowWidth="28800" windowHeight="12435"/>
  </bookViews>
  <sheets>
    <sheet name="LEIV001" sheetId="1" r:id="rId1"/>
  </sheets>
  <calcPr calcId="152511"/>
</workbook>
</file>

<file path=xl/calcChain.xml><?xml version="1.0" encoding="utf-8"?>
<calcChain xmlns="http://schemas.openxmlformats.org/spreadsheetml/2006/main">
  <c r="CO31" i="1" l="1"/>
  <c r="CT30" i="1"/>
  <c r="CT29" i="1"/>
  <c r="CT28" i="1"/>
</calcChain>
</file>

<file path=xl/sharedStrings.xml><?xml version="1.0" encoding="utf-8"?>
<sst xmlns="http://schemas.openxmlformats.org/spreadsheetml/2006/main" count="52" uniqueCount="49">
  <si>
    <t xml:space="preserve">   I N V O I C E</t>
  </si>
  <si>
    <t>SAMSUNG ELECTRO-MECHANICS CO.,LTD</t>
  </si>
  <si>
    <t>1) Shipper/Export</t>
  </si>
  <si>
    <t>8)No. &amp; date of invoice</t>
  </si>
  <si>
    <t>ES12651008               MAY.14,2026</t>
  </si>
  <si>
    <t>9)No. &amp; date of L/C</t>
  </si>
  <si>
    <t>2) For Account &amp; Risk of Messrs</t>
  </si>
  <si>
    <t>10) L/C Issuing Bank</t>
  </si>
  <si>
    <t>TECH-COM (SHANGHAI) COMPUTER CO LTD
SONGJIANG EXPORT PROCESSING ZONE,NO 58 SAN
SONGJIANG EXPORT PROCESSING ZONE 201613</t>
  </si>
  <si>
    <t>11)Remarks</t>
  </si>
  <si>
    <t>3) Notify party</t>
  </si>
  <si>
    <t>QUANTA(C:NB)
.O. 68, SANZHUANG ROAD,SHANGHAI
SONGJIANG EXPORT PROCESSING ZONE 123456</t>
  </si>
  <si>
    <t>4)Port of loading</t>
  </si>
  <si>
    <t>China</t>
  </si>
  <si>
    <t>6)Carrier</t>
  </si>
  <si>
    <t>7)Sailing on or about</t>
  </si>
  <si>
    <t>12)Marks and numbers of PKGS</t>
  </si>
  <si>
    <t>13)Description of good</t>
  </si>
  <si>
    <t>14)Quantity/Unit</t>
  </si>
  <si>
    <t>15)Unit Price</t>
  </si>
  <si>
    <t>16)Amount</t>
  </si>
  <si>
    <t>Quanta(C:NB)
C/T NO:3t</t>
  </si>
  <si>
    <t>DDP SHANGHAI</t>
  </si>
  <si>
    <t>MULTI LAYER CERAMIC CAPACITOR</t>
  </si>
  <si>
    <t>ITEM</t>
  </si>
  <si>
    <t>P/O</t>
  </si>
  <si>
    <t>P/N</t>
  </si>
  <si>
    <t>SAMSUNG P/N</t>
  </si>
  <si>
    <t>PC</t>
  </si>
  <si>
    <t>@USD/1000</t>
  </si>
  <si>
    <t>USD</t>
  </si>
  <si>
    <t>1078344362</t>
  </si>
  <si>
    <t>CH4221K9E13</t>
  </si>
  <si>
    <t>CL03A224KQ3NNNC</t>
  </si>
  <si>
    <t>30,000</t>
  </si>
  <si>
    <t>1</t>
  </si>
  <si>
    <t>CH5101M9E03</t>
  </si>
  <si>
    <t>CL03A105MQ3CSND</t>
  </si>
  <si>
    <t>50,000</t>
  </si>
  <si>
    <t>CH5404M9B00</t>
  </si>
  <si>
    <t>CL05A405MA5EUNZ</t>
  </si>
  <si>
    <t>10,000</t>
  </si>
  <si>
    <t>TOTAL :</t>
  </si>
  <si>
    <t>90,000</t>
  </si>
  <si>
    <t>Signed by</t>
  </si>
  <si>
    <t xml:space="preserve"> </t>
  </si>
  <si>
    <t>Samsung Electro-Mechanics(Shenzhen) Co., Ltd
14F Tower A,SCC/Junction of Houhai Blvd and
Haide 1st Road Nanshan District
Shenzhen, China 518064</t>
    <phoneticPr fontId="24" type="noConversion"/>
  </si>
  <si>
    <t>5)Final destination</t>
    <phoneticPr fontId="24" type="noConversion"/>
  </si>
  <si>
    <r>
      <t>M</t>
    </r>
    <r>
      <rPr>
        <sz val="9"/>
        <color rgb="FF000000"/>
        <rFont val="카이겐고딕 KR Normal"/>
        <family val="3"/>
        <charset val="129"/>
      </rPr>
      <t>ade in China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</si>
</sst>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indexed="8"/>
      <name val="宋体"/>
      <family val="2"/>
      <scheme val="minor"/>
    </font>
    <font>
      <b/>
      <sz val="10.5"/>
      <color rgb="FF000000"/>
      <name val="카이겐고딕 KR Normal"/>
      <family val="3"/>
      <charset val="129"/>
    </font>
    <font>
      <b/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8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1" fillId="2" borderId="1" xfId="0" applyFont="1" applyFill="1" applyBorder="1" applyAlignment="1">
      <alignment horizontal="left" vertical="top" wrapText="1"/>
    </xf>
    <xf numFmtId="0" fontId="22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right" vertical="center" wrapText="1"/>
    </xf>
    <xf numFmtId="0" fontId="23" fillId="2" borderId="9" xfId="0" applyFont="1" applyFill="1" applyBorder="1" applyAlignment="1">
      <alignment horizontal="righ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left" wrapText="1"/>
    </xf>
    <xf numFmtId="0" fontId="19" fillId="2" borderId="10" xfId="0" applyFont="1" applyFill="1" applyBorder="1" applyAlignment="1">
      <alignment horizontal="left" vertical="top" wrapText="1"/>
    </xf>
    <xf numFmtId="0" fontId="20" fillId="2" borderId="10" xfId="0" applyFont="1" applyFill="1" applyBorder="1" applyAlignment="1">
      <alignment horizontal="right" wrapText="1"/>
    </xf>
    <xf numFmtId="0" fontId="15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10" fillId="2" borderId="8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52</xdr:col>
      <xdr:colOff>3295650</xdr:colOff>
      <xdr:row>1</xdr:row>
      <xdr:rowOff>466725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114</xdr:col>
      <xdr:colOff>22412</xdr:colOff>
      <xdr:row>30</xdr:row>
      <xdr:rowOff>156881</xdr:rowOff>
    </xdr:from>
    <xdr:to>
      <xdr:col>116</xdr:col>
      <xdr:colOff>649942</xdr:colOff>
      <xdr:row>32</xdr:row>
      <xdr:rowOff>78440</xdr:rowOff>
    </xdr:to>
    <xdr:sp macro="" textlink="">
      <xdr:nvSpPr>
        <xdr:cNvPr id="3" name="圆角矩形标注 2"/>
        <xdr:cNvSpPr/>
      </xdr:nvSpPr>
      <xdr:spPr>
        <a:xfrm>
          <a:off x="8527677" y="7608793"/>
          <a:ext cx="851647" cy="347382"/>
        </a:xfrm>
        <a:prstGeom prst="wedgeRoundRectCallout">
          <a:avLst>
            <a:gd name="adj1" fmla="val -69383"/>
            <a:gd name="adj2" fmla="val -15343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虚拟金额</a:t>
          </a:r>
        </a:p>
      </xdr:txBody>
    </xdr:sp>
    <xdr:clientData/>
  </xdr:twoCellAnchor>
  <xdr:twoCellAnchor>
    <xdr:from>
      <xdr:col>86</xdr:col>
      <xdr:colOff>11207</xdr:colOff>
      <xdr:row>30</xdr:row>
      <xdr:rowOff>179293</xdr:rowOff>
    </xdr:from>
    <xdr:to>
      <xdr:col>88</xdr:col>
      <xdr:colOff>89648</xdr:colOff>
      <xdr:row>32</xdr:row>
      <xdr:rowOff>100852</xdr:rowOff>
    </xdr:to>
    <xdr:sp macro="" textlink="">
      <xdr:nvSpPr>
        <xdr:cNvPr id="4" name="圆角矩形标注 3"/>
        <xdr:cNvSpPr/>
      </xdr:nvSpPr>
      <xdr:spPr>
        <a:xfrm>
          <a:off x="6510619" y="7631205"/>
          <a:ext cx="515470" cy="347382"/>
        </a:xfrm>
        <a:prstGeom prst="wedgeRoundRectCallout">
          <a:avLst>
            <a:gd name="adj1" fmla="val -65036"/>
            <a:gd name="adj2" fmla="val -15988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数量</a:t>
          </a:r>
        </a:p>
      </xdr:txBody>
    </xdr:sp>
    <xdr:clientData/>
  </xdr:twoCellAnchor>
  <xdr:twoCellAnchor>
    <xdr:from>
      <xdr:col>92</xdr:col>
      <xdr:colOff>1</xdr:colOff>
      <xdr:row>24</xdr:row>
      <xdr:rowOff>22411</xdr:rowOff>
    </xdr:from>
    <xdr:to>
      <xdr:col>103</xdr:col>
      <xdr:colOff>112059</xdr:colOff>
      <xdr:row>26</xdr:row>
      <xdr:rowOff>33617</xdr:rowOff>
    </xdr:to>
    <xdr:sp macro="" textlink="">
      <xdr:nvSpPr>
        <xdr:cNvPr id="5" name="圆角矩形标注 4"/>
        <xdr:cNvSpPr/>
      </xdr:nvSpPr>
      <xdr:spPr>
        <a:xfrm>
          <a:off x="7306236" y="6331323"/>
          <a:ext cx="818029" cy="347382"/>
        </a:xfrm>
        <a:prstGeom prst="wedgeRoundRectCallout">
          <a:avLst>
            <a:gd name="adj1" fmla="val -39992"/>
            <a:gd name="adj2" fmla="val 14333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虚拟单价</a:t>
          </a:r>
        </a:p>
      </xdr:txBody>
    </xdr:sp>
    <xdr:clientData/>
  </xdr:twoCellAnchor>
  <xdr:twoCellAnchor>
    <xdr:from>
      <xdr:col>111</xdr:col>
      <xdr:colOff>0</xdr:colOff>
      <xdr:row>24</xdr:row>
      <xdr:rowOff>11206</xdr:rowOff>
    </xdr:from>
    <xdr:to>
      <xdr:col>116</xdr:col>
      <xdr:colOff>235323</xdr:colOff>
      <xdr:row>26</xdr:row>
      <xdr:rowOff>22412</xdr:rowOff>
    </xdr:to>
    <xdr:sp macro="" textlink="">
      <xdr:nvSpPr>
        <xdr:cNvPr id="6" name="圆角矩形标注 5"/>
        <xdr:cNvSpPr/>
      </xdr:nvSpPr>
      <xdr:spPr>
        <a:xfrm>
          <a:off x="8449235" y="6320118"/>
          <a:ext cx="515470" cy="347382"/>
        </a:xfrm>
        <a:prstGeom prst="wedgeRoundRectCallout">
          <a:avLst>
            <a:gd name="adj1" fmla="val -62862"/>
            <a:gd name="adj2" fmla="val 6592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币制</a:t>
          </a:r>
        </a:p>
      </xdr:txBody>
    </xdr:sp>
    <xdr:clientData/>
  </xdr:twoCellAnchor>
  <xdr:twoCellAnchor>
    <xdr:from>
      <xdr:col>46</xdr:col>
      <xdr:colOff>33617</xdr:colOff>
      <xdr:row>31</xdr:row>
      <xdr:rowOff>67235</xdr:rowOff>
    </xdr:from>
    <xdr:to>
      <xdr:col>58</xdr:col>
      <xdr:colOff>156881</xdr:colOff>
      <xdr:row>33</xdr:row>
      <xdr:rowOff>33617</xdr:rowOff>
    </xdr:to>
    <xdr:sp macro="" textlink="">
      <xdr:nvSpPr>
        <xdr:cNvPr id="7" name="圆角矩形标注 6"/>
        <xdr:cNvSpPr/>
      </xdr:nvSpPr>
      <xdr:spPr>
        <a:xfrm>
          <a:off x="3843617" y="7754470"/>
          <a:ext cx="829235" cy="347382"/>
        </a:xfrm>
        <a:prstGeom prst="wedgeRoundRectCallout">
          <a:avLst>
            <a:gd name="adj1" fmla="val -8514"/>
            <a:gd name="adj2" fmla="val -13085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实际料号</a:t>
          </a:r>
        </a:p>
      </xdr:txBody>
    </xdr:sp>
    <xdr:clientData/>
  </xdr:twoCellAnchor>
  <xdr:twoCellAnchor>
    <xdr:from>
      <xdr:col>58</xdr:col>
      <xdr:colOff>481852</xdr:colOff>
      <xdr:row>6</xdr:row>
      <xdr:rowOff>123265</xdr:rowOff>
    </xdr:from>
    <xdr:to>
      <xdr:col>75</xdr:col>
      <xdr:colOff>11206</xdr:colOff>
      <xdr:row>6</xdr:row>
      <xdr:rowOff>470647</xdr:rowOff>
    </xdr:to>
    <xdr:sp macro="" textlink="">
      <xdr:nvSpPr>
        <xdr:cNvPr id="8" name="圆角矩形标注 7"/>
        <xdr:cNvSpPr/>
      </xdr:nvSpPr>
      <xdr:spPr>
        <a:xfrm>
          <a:off x="4997823" y="1524000"/>
          <a:ext cx="795618" cy="347382"/>
        </a:xfrm>
        <a:prstGeom prst="wedgeRoundRectCallout">
          <a:avLst>
            <a:gd name="adj1" fmla="val -88949"/>
            <a:gd name="adj2" fmla="val -4053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发票号码</a:t>
          </a:r>
        </a:p>
      </xdr:txBody>
    </xdr:sp>
    <xdr:clientData/>
  </xdr:twoCellAnchor>
  <xdr:twoCellAnchor>
    <xdr:from>
      <xdr:col>36</xdr:col>
      <xdr:colOff>168088</xdr:colOff>
      <xdr:row>7</xdr:row>
      <xdr:rowOff>78442</xdr:rowOff>
    </xdr:from>
    <xdr:to>
      <xdr:col>48</xdr:col>
      <xdr:colOff>33617</xdr:colOff>
      <xdr:row>8</xdr:row>
      <xdr:rowOff>190500</xdr:rowOff>
    </xdr:to>
    <xdr:sp macro="" textlink="">
      <xdr:nvSpPr>
        <xdr:cNvPr id="9" name="圆角矩形标注 8"/>
        <xdr:cNvSpPr/>
      </xdr:nvSpPr>
      <xdr:spPr>
        <a:xfrm>
          <a:off x="2868706" y="1961030"/>
          <a:ext cx="1098176" cy="347382"/>
        </a:xfrm>
        <a:prstGeom prst="wedgeRoundRectCallout">
          <a:avLst>
            <a:gd name="adj1" fmla="val -42470"/>
            <a:gd name="adj2" fmla="val -16956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委托客户名称</a:t>
          </a:r>
        </a:p>
      </xdr:txBody>
    </xdr:sp>
    <xdr:clientData/>
  </xdr:twoCellAnchor>
  <xdr:twoCellAnchor>
    <xdr:from>
      <xdr:col>41</xdr:col>
      <xdr:colOff>11206</xdr:colOff>
      <xdr:row>14</xdr:row>
      <xdr:rowOff>67235</xdr:rowOff>
    </xdr:from>
    <xdr:to>
      <xdr:col>54</xdr:col>
      <xdr:colOff>22413</xdr:colOff>
      <xdr:row>15</xdr:row>
      <xdr:rowOff>179294</xdr:rowOff>
    </xdr:to>
    <xdr:sp macro="" textlink="">
      <xdr:nvSpPr>
        <xdr:cNvPr id="10" name="圆角矩形标注 9"/>
        <xdr:cNvSpPr/>
      </xdr:nvSpPr>
      <xdr:spPr>
        <a:xfrm>
          <a:off x="3686735" y="4359088"/>
          <a:ext cx="672354" cy="347382"/>
        </a:xfrm>
        <a:prstGeom prst="wedgeRoundRectCallout">
          <a:avLst>
            <a:gd name="adj1" fmla="val -119384"/>
            <a:gd name="adj2" fmla="val 140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目的地</a:t>
          </a:r>
        </a:p>
      </xdr:txBody>
    </xdr:sp>
    <xdr:clientData/>
  </xdr:twoCellAnchor>
  <xdr:twoCellAnchor>
    <xdr:from>
      <xdr:col>65</xdr:col>
      <xdr:colOff>0</xdr:colOff>
      <xdr:row>15</xdr:row>
      <xdr:rowOff>100854</xdr:rowOff>
    </xdr:from>
    <xdr:to>
      <xdr:col>78</xdr:col>
      <xdr:colOff>33619</xdr:colOff>
      <xdr:row>16</xdr:row>
      <xdr:rowOff>212912</xdr:rowOff>
    </xdr:to>
    <xdr:sp macro="" textlink="">
      <xdr:nvSpPr>
        <xdr:cNvPr id="11" name="圆角矩形标注 10"/>
        <xdr:cNvSpPr/>
      </xdr:nvSpPr>
      <xdr:spPr>
        <a:xfrm>
          <a:off x="5457265" y="4628030"/>
          <a:ext cx="672354" cy="347382"/>
        </a:xfrm>
        <a:prstGeom prst="wedgeRoundRectCallout">
          <a:avLst>
            <a:gd name="adj1" fmla="val -79384"/>
            <a:gd name="adj2" fmla="val 1753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原产国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L55"/>
  <sheetViews>
    <sheetView showGridLines="0" tabSelected="1" zoomScale="85" zoomScaleNormal="85" workbookViewId="0">
      <selection activeCell="DP22" sqref="DP22"/>
    </sheetView>
  </sheetViews>
  <sheetFormatPr defaultRowHeight="13.5"/>
  <cols>
    <col min="1" max="1" width="3.875" customWidth="1"/>
    <col min="2" max="2" width="0.75" customWidth="1"/>
    <col min="3" max="3" width="0.125" customWidth="1"/>
    <col min="4" max="4" width="0.75" customWidth="1"/>
    <col min="5" max="5" width="0.375" customWidth="1"/>
    <col min="6" max="6" width="0.125" customWidth="1"/>
    <col min="7" max="7" width="0.25" customWidth="1"/>
    <col min="8" max="8" width="0.125" customWidth="1"/>
    <col min="9" max="9" width="0.25" customWidth="1"/>
    <col min="10" max="10" width="3.25" customWidth="1"/>
    <col min="11" max="11" width="0.25" customWidth="1"/>
    <col min="12" max="12" width="0.125" customWidth="1"/>
    <col min="13" max="13" width="1.375" customWidth="1"/>
    <col min="14" max="14" width="0.625" customWidth="1"/>
    <col min="15" max="15" width="0.75" customWidth="1"/>
    <col min="16" max="16" width="1.375" customWidth="1"/>
    <col min="17" max="17" width="4.125" customWidth="1"/>
    <col min="18" max="19" width="0.125" customWidth="1"/>
    <col min="20" max="20" width="0.375" customWidth="1"/>
    <col min="21" max="21" width="0.25" customWidth="1"/>
    <col min="22" max="22" width="4.875" customWidth="1"/>
    <col min="23" max="23" width="2" customWidth="1"/>
    <col min="24" max="24" width="1" customWidth="1"/>
    <col min="25" max="25" width="1.25" customWidth="1"/>
    <col min="26" max="26" width="2.75" customWidth="1"/>
    <col min="27" max="27" width="0.625" customWidth="1"/>
    <col min="28" max="28" width="0.25" customWidth="1"/>
    <col min="29" max="29" width="0.125" customWidth="1"/>
    <col min="30" max="31" width="0.25" customWidth="1"/>
    <col min="32" max="32" width="0.125" customWidth="1"/>
    <col min="33" max="33" width="0.25" customWidth="1"/>
    <col min="34" max="34" width="0.375" customWidth="1"/>
    <col min="35" max="35" width="0.625" customWidth="1"/>
    <col min="36" max="36" width="0.75" customWidth="1"/>
    <col min="37" max="37" width="2.75" customWidth="1"/>
    <col min="38" max="38" width="3.75" customWidth="1"/>
    <col min="39" max="39" width="1.375" customWidth="1"/>
    <col min="40" max="40" width="1.875" customWidth="1"/>
    <col min="41" max="41" width="3" customWidth="1"/>
    <col min="42" max="42" width="0.25" customWidth="1"/>
    <col min="43" max="44" width="0.625" customWidth="1"/>
    <col min="45" max="46" width="0.125" customWidth="1"/>
    <col min="47" max="47" width="1.375" customWidth="1"/>
    <col min="48" max="48" width="0.25" customWidth="1"/>
    <col min="49" max="49" width="1.625" customWidth="1"/>
    <col min="50" max="50" width="0.125" customWidth="1"/>
    <col min="51" max="52" width="0.25" customWidth="1"/>
    <col min="53" max="53" width="1.75" customWidth="1"/>
    <col min="54" max="54" width="1.125" customWidth="1"/>
    <col min="55" max="55" width="0.75" customWidth="1"/>
    <col min="56" max="56" width="0.125" customWidth="1"/>
    <col min="57" max="58" width="0.75" customWidth="1"/>
    <col min="59" max="59" width="7.375" customWidth="1"/>
    <col min="60" max="61" width="0.625" customWidth="1"/>
    <col min="62" max="62" width="2.875" customWidth="1"/>
    <col min="63" max="63" width="0.375" customWidth="1"/>
    <col min="64" max="64" width="0.25" customWidth="1"/>
    <col min="65" max="65" width="0.125" customWidth="1"/>
    <col min="66" max="66" width="0.25" customWidth="1"/>
    <col min="67" max="68" width="0.125" customWidth="1"/>
    <col min="69" max="69" width="0.25" customWidth="1"/>
    <col min="70" max="70" width="0.875" customWidth="1"/>
    <col min="71" max="71" width="0.375" customWidth="1"/>
    <col min="72" max="72" width="0.125" customWidth="1"/>
    <col min="73" max="73" width="1" customWidth="1"/>
    <col min="74" max="75" width="0.375" customWidth="1"/>
    <col min="76" max="76" width="0.625" customWidth="1"/>
    <col min="77" max="77" width="0.375" customWidth="1"/>
    <col min="78" max="78" width="3.125" customWidth="1"/>
    <col min="79" max="79" width="0.875" customWidth="1"/>
    <col min="80" max="80" width="2.25" customWidth="1"/>
    <col min="81" max="81" width="0.375" customWidth="1"/>
    <col min="82" max="82" width="0.125" customWidth="1"/>
    <col min="83" max="84" width="0.25" customWidth="1"/>
    <col min="85" max="85" width="0.125" customWidth="1"/>
    <col min="86" max="86" width="0.875" customWidth="1"/>
    <col min="87" max="87" width="2.75" customWidth="1"/>
    <col min="88" max="88" width="2.875" customWidth="1"/>
    <col min="89" max="89" width="1.25" customWidth="1"/>
    <col min="90" max="90" width="2.125" customWidth="1"/>
    <col min="91" max="91" width="0.875" customWidth="1"/>
    <col min="92" max="92" width="0.625" customWidth="1"/>
    <col min="93" max="95" width="0.125" customWidth="1"/>
    <col min="96" max="96" width="0.25" customWidth="1"/>
    <col min="97" max="97" width="0.125" customWidth="1"/>
    <col min="98" max="98" width="0.375" customWidth="1"/>
    <col min="99" max="99" width="1.125" customWidth="1"/>
    <col min="100" max="100" width="3.875" customWidth="1"/>
    <col min="101" max="101" width="1" customWidth="1"/>
    <col min="102" max="102" width="1.375" customWidth="1"/>
    <col min="103" max="103" width="0.625" customWidth="1"/>
    <col min="104" max="104" width="3.625" customWidth="1"/>
    <col min="105" max="105" width="0.25" customWidth="1"/>
    <col min="106" max="106" width="0.375" customWidth="1"/>
    <col min="107" max="107" width="0.125" customWidth="1"/>
    <col min="108" max="108" width="0.25" customWidth="1"/>
    <col min="109" max="109" width="0.125" customWidth="1"/>
    <col min="110" max="110" width="0.25" customWidth="1"/>
    <col min="111" max="111" width="0.375" customWidth="1"/>
    <col min="112" max="112" width="0.25" customWidth="1"/>
    <col min="113" max="113" width="0.125" customWidth="1"/>
    <col min="114" max="114" width="0.25" customWidth="1"/>
    <col min="115" max="115" width="1.375" customWidth="1"/>
    <col min="116" max="116" width="1.625" customWidth="1"/>
  </cols>
  <sheetData>
    <row r="1" spans="6:107" ht="21" customHeight="1"/>
    <row r="2" spans="6:107" ht="36.75" customHeight="1"/>
    <row r="3" spans="6:107" ht="2.25" customHeight="1"/>
    <row r="4" spans="6:107" ht="18.75" customHeight="1">
      <c r="G4" s="22" t="s">
        <v>0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3" t="s">
        <v>1</v>
      </c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</row>
    <row r="5" spans="6:107" ht="12.75" customHeight="1"/>
    <row r="6" spans="6:107" ht="18.75" customHeight="1">
      <c r="F6" s="13" t="s">
        <v>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21" t="s">
        <v>3</v>
      </c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</row>
    <row r="7" spans="6:107" ht="37.5" customHeight="1">
      <c r="F7" s="24" t="s">
        <v>46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8" t="s">
        <v>4</v>
      </c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</row>
    <row r="8" spans="6:107" ht="18.75" customHeight="1"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1" t="s">
        <v>5</v>
      </c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</row>
    <row r="9" spans="6:107" ht="22.5" customHeight="1"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</row>
    <row r="10" spans="6:107" ht="18.75" customHeight="1">
      <c r="F10" s="13" t="s">
        <v>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21" t="s">
        <v>7</v>
      </c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</row>
    <row r="11" spans="6:107" ht="45" customHeight="1">
      <c r="F11" s="16" t="s">
        <v>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</row>
    <row r="12" spans="6:107" ht="18.75" customHeight="1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1" t="s">
        <v>9</v>
      </c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</row>
    <row r="13" spans="6:107" ht="18.75" customHeight="1">
      <c r="F13" s="20" t="s">
        <v>10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15">
        <v>143022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</row>
    <row r="14" spans="6:107" ht="47.25" customHeight="1">
      <c r="F14" s="16" t="s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</row>
    <row r="15" spans="6:107" ht="18.75" customHeight="1">
      <c r="F15" s="13" t="s">
        <v>12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25" t="s">
        <v>47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</row>
    <row r="16" spans="6:107" ht="18.75" customHeight="1"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 t="s">
        <v>13</v>
      </c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</row>
    <row r="17" spans="2:107" ht="18.75" customHeight="1">
      <c r="F17" s="13" t="s">
        <v>14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 t="s">
        <v>15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26" t="s">
        <v>48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2:107" ht="18.75" customHeight="1"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2:107" ht="18.75" customHeight="1"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2:107" ht="21" customHeight="1"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</row>
    <row r="21" spans="2:107" ht="0.75" customHeight="1"/>
    <row r="22" spans="2:107" ht="17.25" customHeight="1">
      <c r="G22" s="10" t="s">
        <v>16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 t="s">
        <v>17</v>
      </c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 t="s">
        <v>18</v>
      </c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 t="s">
        <v>19</v>
      </c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 t="s">
        <v>20</v>
      </c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</row>
    <row r="23" spans="2:107" ht="0.75" customHeight="1"/>
    <row r="24" spans="2:107" ht="25.5" customHeight="1">
      <c r="G24" s="1" t="s">
        <v>21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2:107" ht="13.5" customHeight="1">
      <c r="BE25" s="12" t="s">
        <v>22</v>
      </c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</row>
    <row r="26" spans="2:107" ht="13.5" customHeight="1">
      <c r="C26" s="12" t="s">
        <v>23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</row>
    <row r="27" spans="2:107" ht="18.75" customHeight="1">
      <c r="B27" s="9" t="s">
        <v>24</v>
      </c>
      <c r="C27" s="9"/>
      <c r="D27" s="9"/>
      <c r="E27" s="9"/>
      <c r="F27" s="9"/>
      <c r="G27" s="9"/>
      <c r="H27" s="9"/>
      <c r="I27" s="9"/>
      <c r="J27" s="9"/>
      <c r="K27" s="9"/>
      <c r="L27" s="10" t="s">
        <v>25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 t="s">
        <v>26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 t="s">
        <v>27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3" t="s">
        <v>28</v>
      </c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 t="s">
        <v>29</v>
      </c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 t="s">
        <v>30</v>
      </c>
      <c r="CU27" s="3"/>
      <c r="CV27" s="3"/>
      <c r="CW27" s="3"/>
      <c r="CX27" s="3"/>
      <c r="CY27" s="3"/>
      <c r="CZ27" s="3"/>
      <c r="DA27" s="3"/>
      <c r="DB27" s="3"/>
      <c r="DC27" s="3"/>
    </row>
    <row r="28" spans="2:107" ht="15" customHeight="1">
      <c r="B28" s="9"/>
      <c r="C28" s="9"/>
      <c r="D28" s="9"/>
      <c r="E28" s="9"/>
      <c r="F28" s="9"/>
      <c r="G28" s="9"/>
      <c r="H28" s="9"/>
      <c r="I28" s="9"/>
      <c r="J28" s="9"/>
      <c r="K28" s="9"/>
      <c r="L28" s="10" t="s">
        <v>31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 t="s">
        <v>32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0" t="s">
        <v>33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3" t="s">
        <v>34</v>
      </c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>
        <v>1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>
        <f>BQ28*CE28</f>
        <v>30000</v>
      </c>
      <c r="CU28" s="3"/>
      <c r="CV28" s="3"/>
      <c r="CW28" s="3"/>
      <c r="CX28" s="3"/>
      <c r="CY28" s="3"/>
      <c r="CZ28" s="3"/>
      <c r="DA28" s="3"/>
      <c r="DB28" s="3"/>
      <c r="DC28" s="3"/>
    </row>
    <row r="29" spans="2:107" ht="15" customHeight="1">
      <c r="B29" s="9" t="s">
        <v>35</v>
      </c>
      <c r="C29" s="9"/>
      <c r="D29" s="9"/>
      <c r="E29" s="9"/>
      <c r="F29" s="9"/>
      <c r="G29" s="9"/>
      <c r="H29" s="9"/>
      <c r="I29" s="9"/>
      <c r="J29" s="9"/>
      <c r="K29" s="9"/>
      <c r="L29" s="10" t="s">
        <v>36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1" t="s">
        <v>36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0" t="s">
        <v>37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3" t="s">
        <v>38</v>
      </c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>
        <v>2</v>
      </c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>
        <f>BQ29*CE29</f>
        <v>100000</v>
      </c>
      <c r="CU29" s="3"/>
      <c r="CV29" s="3"/>
      <c r="CW29" s="3"/>
      <c r="CX29" s="3"/>
      <c r="CY29" s="3"/>
      <c r="CZ29" s="3"/>
      <c r="DA29" s="3"/>
      <c r="DB29" s="3"/>
      <c r="DC29" s="3"/>
    </row>
    <row r="30" spans="2:107" ht="15" customHeight="1">
      <c r="B30" s="9" t="s">
        <v>35</v>
      </c>
      <c r="C30" s="9"/>
      <c r="D30" s="9"/>
      <c r="E30" s="9"/>
      <c r="F30" s="9"/>
      <c r="G30" s="9"/>
      <c r="H30" s="9"/>
      <c r="I30" s="9"/>
      <c r="J30" s="9"/>
      <c r="K30" s="9"/>
      <c r="L30" s="10" t="s">
        <v>39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 t="s">
        <v>39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0" t="s">
        <v>40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3" t="s">
        <v>41</v>
      </c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>
        <v>3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>
        <f>BQ30*CE30</f>
        <v>30000</v>
      </c>
      <c r="CU30" s="3"/>
      <c r="CV30" s="3"/>
      <c r="CW30" s="3"/>
      <c r="CX30" s="3"/>
      <c r="CY30" s="3"/>
      <c r="CZ30" s="3"/>
      <c r="DA30" s="3"/>
      <c r="DB30" s="3"/>
      <c r="DC30" s="3"/>
    </row>
    <row r="31" spans="2:107" ht="18.75" customHeight="1">
      <c r="G31" s="6" t="s">
        <v>42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8" t="s">
        <v>43</v>
      </c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>
        <f>SUM(CT28:DC30)</f>
        <v>160000</v>
      </c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2:107" ht="15" customHeight="1"/>
    <row r="33" spans="7:107" ht="15" customHeight="1"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</row>
    <row r="34" spans="7:107" ht="7.5" customHeight="1"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</row>
    <row r="35" spans="7:107" ht="7.5" customHeight="1"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</row>
    <row r="36" spans="7:107" ht="7.5" customHeight="1"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</row>
    <row r="37" spans="7:107" ht="7.5" customHeight="1"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7:107" ht="7.5" customHeight="1"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7:107" ht="7.5" customHeight="1"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7:107" ht="7.5" customHeight="1"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7:107" ht="7.5" customHeight="1"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 spans="7:107" ht="7.5" customHeight="1"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</row>
    <row r="43" spans="7:107" ht="7.5" customHeight="1"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 spans="7:107" ht="7.5" customHeight="1"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</row>
    <row r="45" spans="7:107" ht="7.5" customHeight="1"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</row>
    <row r="46" spans="7:107" ht="7.5" customHeight="1"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</row>
    <row r="47" spans="7:107" ht="7.5" customHeight="1"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</row>
    <row r="48" spans="7:107" ht="7.5" customHeight="1"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</row>
    <row r="49" spans="10:116" ht="48.75" customHeight="1"/>
    <row r="50" spans="10:116" ht="20.25" customHeight="1">
      <c r="AN50" s="3" t="s">
        <v>44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0:116" ht="3" customHeight="1"/>
    <row r="52" spans="10:116" ht="15.75" customHeight="1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0:116" ht="6" customHeight="1"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0:116" ht="9.75" customHeight="1"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0:116" ht="15.75" customHeight="1"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DL55" t="s">
        <v>45</v>
      </c>
    </row>
  </sheetData>
  <mergeCells count="97">
    <mergeCell ref="G4:BD4"/>
    <mergeCell ref="BE4:DC4"/>
    <mergeCell ref="F6:BC6"/>
    <mergeCell ref="BD6:DB6"/>
    <mergeCell ref="F7:BC9"/>
    <mergeCell ref="BD7:DB7"/>
    <mergeCell ref="BD8:DB8"/>
    <mergeCell ref="BD9:DB9"/>
    <mergeCell ref="F10:BC10"/>
    <mergeCell ref="BD10:DB10"/>
    <mergeCell ref="F11:BC12"/>
    <mergeCell ref="BD11:DB11"/>
    <mergeCell ref="BD12:DB12"/>
    <mergeCell ref="F13:BC13"/>
    <mergeCell ref="BD13:DB16"/>
    <mergeCell ref="F14:BC14"/>
    <mergeCell ref="F15:Z15"/>
    <mergeCell ref="AA15:BC15"/>
    <mergeCell ref="F16:Z16"/>
    <mergeCell ref="AA16:BC16"/>
    <mergeCell ref="F17:Z17"/>
    <mergeCell ref="AA17:BC17"/>
    <mergeCell ref="BD17:CK17"/>
    <mergeCell ref="CL17:DB17"/>
    <mergeCell ref="F18:Z20"/>
    <mergeCell ref="AA18:BC20"/>
    <mergeCell ref="BD18:BU18"/>
    <mergeCell ref="BV18:CK18"/>
    <mergeCell ref="CL18:DB18"/>
    <mergeCell ref="BD19:BU19"/>
    <mergeCell ref="BV19:DB19"/>
    <mergeCell ref="BD20:BU20"/>
    <mergeCell ref="BV20:DB20"/>
    <mergeCell ref="G22:AI22"/>
    <mergeCell ref="AJ22:BF22"/>
    <mergeCell ref="BG22:BZ22"/>
    <mergeCell ref="CA22:CL22"/>
    <mergeCell ref="CM22:CZ22"/>
    <mergeCell ref="G24:DC24"/>
    <mergeCell ref="BE25:DC25"/>
    <mergeCell ref="C26:DC26"/>
    <mergeCell ref="B27:K27"/>
    <mergeCell ref="L27:AB27"/>
    <mergeCell ref="AC27:AS27"/>
    <mergeCell ref="AT27:BP27"/>
    <mergeCell ref="BQ27:CD27"/>
    <mergeCell ref="CE27:CS27"/>
    <mergeCell ref="CT27:DC27"/>
    <mergeCell ref="CE28:CS28"/>
    <mergeCell ref="CT28:DC28"/>
    <mergeCell ref="B29:K29"/>
    <mergeCell ref="L29:AB29"/>
    <mergeCell ref="AC29:AS29"/>
    <mergeCell ref="AT29:BP29"/>
    <mergeCell ref="BQ29:CD29"/>
    <mergeCell ref="CE29:CS29"/>
    <mergeCell ref="CT29:DC29"/>
    <mergeCell ref="B28:K28"/>
    <mergeCell ref="L28:AB28"/>
    <mergeCell ref="AC28:AS28"/>
    <mergeCell ref="AT28:BP28"/>
    <mergeCell ref="BQ28:CD28"/>
    <mergeCell ref="CE30:CS30"/>
    <mergeCell ref="CT30:DC30"/>
    <mergeCell ref="G31:S31"/>
    <mergeCell ref="T31:AD31"/>
    <mergeCell ref="AE31:AW31"/>
    <mergeCell ref="AX31:BK31"/>
    <mergeCell ref="BL31:CC31"/>
    <mergeCell ref="CD31:CN31"/>
    <mergeCell ref="CO31:DC31"/>
    <mergeCell ref="B30:K30"/>
    <mergeCell ref="L30:AB30"/>
    <mergeCell ref="AC30:AS30"/>
    <mergeCell ref="AT30:BP30"/>
    <mergeCell ref="BQ30:CD30"/>
    <mergeCell ref="G33:DC33"/>
    <mergeCell ref="AP34:BW34"/>
    <mergeCell ref="AP35:BW35"/>
    <mergeCell ref="AP36:BW36"/>
    <mergeCell ref="AP37:BW37"/>
    <mergeCell ref="AP38:BW38"/>
    <mergeCell ref="AP39:BW39"/>
    <mergeCell ref="AP40:BW40"/>
    <mergeCell ref="AP41:BW41"/>
    <mergeCell ref="AP42:BW42"/>
    <mergeCell ref="AP43:BW43"/>
    <mergeCell ref="AP44:BW44"/>
    <mergeCell ref="AP45:BW45"/>
    <mergeCell ref="AP46:BW46"/>
    <mergeCell ref="AP47:BW47"/>
    <mergeCell ref="J55:BA55"/>
    <mergeCell ref="AP48:BW48"/>
    <mergeCell ref="AN50:BP50"/>
    <mergeCell ref="BQ50:DC50"/>
    <mergeCell ref="J52:BA52"/>
    <mergeCell ref="J53:BA54"/>
  </mergeCells>
  <phoneticPr fontId="24" type="noConversion"/>
  <pageMargins left="0.7" right="0.7" top="0.75" bottom="0.75" header="0" footer="0"/>
  <pageSetup paperSize="9" fitToHeight="0" orientation="portrait" r:id="rId1"/>
  <rowBreaks count="1" manualBreakCount="1">
    <brk id="5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LEIV001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张巍</cp:lastModifiedBy>
  <dcterms:created xsi:type="dcterms:W3CDTF">2026-05-14T00:20:48Z</dcterms:created>
  <dcterms:modified xsi:type="dcterms:W3CDTF">2026-05-19T00:57:35Z</dcterms:modified>
</cp:coreProperties>
</file>