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当前主要业务\相关资料\自动化录入功能测试\"/>
    </mc:Choice>
  </mc:AlternateContent>
  <bookViews>
    <workbookView xWindow="0" yWindow="0" windowWidth="28800" windowHeight="12435"/>
  </bookViews>
  <sheets>
    <sheet name="LEIV001" sheetId="1" r:id="rId1"/>
  </sheets>
  <calcPr calcId="152511"/>
</workbook>
</file>

<file path=xl/calcChain.xml><?xml version="1.0" encoding="utf-8"?>
<calcChain xmlns="http://schemas.openxmlformats.org/spreadsheetml/2006/main">
  <c r="CO75" i="1" l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57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28" i="1"/>
</calcChain>
</file>

<file path=xl/sharedStrings.xml><?xml version="1.0" encoding="utf-8"?>
<sst xmlns="http://schemas.openxmlformats.org/spreadsheetml/2006/main" count="194" uniqueCount="126">
  <si>
    <t xml:space="preserve">   I N V O I C E</t>
  </si>
  <si>
    <t>SAMSUNG ELECTRO-MECHANICS CO.,LTD</t>
  </si>
  <si>
    <t>1) Shipper/Export</t>
  </si>
  <si>
    <t>8)No. &amp; date of invoice</t>
  </si>
  <si>
    <t>SAMSUNG ELECTRO-MECHANICS(SHENZHEN) CO., LTD
后海大道与海德一路交汇SCC中洲控股中心A座14层
南山区，深圳，中国 518064</t>
  </si>
  <si>
    <t>DS12650253               MAY.11,2026</t>
  </si>
  <si>
    <t>9)No. &amp; date of L/C</t>
  </si>
  <si>
    <t>ECL--HOLDER TT           JUN.26,2019</t>
  </si>
  <si>
    <t>2) For Account &amp; Risk of Messrs</t>
  </si>
  <si>
    <t>10) L/C Issuing Bank</t>
  </si>
  <si>
    <t>XIAMEN HOLDER ELECTRONICS CO.,LTD
Room 602,No.57 WangHai Road,XiaMen
The second session Software Park 123456</t>
  </si>
  <si>
    <t>11)Remarks</t>
  </si>
  <si>
    <t>3) Notify party</t>
  </si>
  <si>
    <t>G-PULSE_HOLDER
PU DONG DISTRICT,SHANGHAI
KANG QIAO ROAD 123456</t>
  </si>
  <si>
    <t>4)Port of loading</t>
  </si>
  <si>
    <t>5)Final destination</t>
  </si>
  <si>
    <t>6)Carrier</t>
  </si>
  <si>
    <t>7)Sailing on or about</t>
  </si>
  <si>
    <t>12)Marks and numbers of PKGS</t>
  </si>
  <si>
    <t>13)Description of good</t>
  </si>
  <si>
    <t>14)Quantity/Unit</t>
  </si>
  <si>
    <t>15)Unit Price</t>
  </si>
  <si>
    <t>16)Amount</t>
  </si>
  <si>
    <t>G-PULSE_Holder
C/T NO:58t</t>
  </si>
  <si>
    <t>DAP SUZHOU</t>
  </si>
  <si>
    <t>MULTI LAYER CERAMIC CAPACITOR</t>
  </si>
  <si>
    <t>ITEM</t>
  </si>
  <si>
    <t>P/O</t>
  </si>
  <si>
    <t>P/N</t>
  </si>
  <si>
    <t>SAMSUNG P/N</t>
  </si>
  <si>
    <t>PC</t>
  </si>
  <si>
    <t>@RMB/1000</t>
  </si>
  <si>
    <t>RMB</t>
  </si>
  <si>
    <t>5</t>
  </si>
  <si>
    <t>XHD01-20251009-015</t>
  </si>
  <si>
    <t>CL10B332KB8WPNC</t>
  </si>
  <si>
    <t>164,000</t>
  </si>
  <si>
    <t>8</t>
  </si>
  <si>
    <t>XHD01-20251027-003</t>
  </si>
  <si>
    <t>CL10B104KB8WPNC</t>
  </si>
  <si>
    <t>668,000</t>
  </si>
  <si>
    <t>22</t>
  </si>
  <si>
    <t>CL21B474KBFVPNE</t>
  </si>
  <si>
    <t>44,000</t>
  </si>
  <si>
    <t>26</t>
  </si>
  <si>
    <t>CL32Y106KBJ4PNE</t>
  </si>
  <si>
    <t>202,000</t>
  </si>
  <si>
    <t>XHD01-20251105-027</t>
  </si>
  <si>
    <t>CL31B106KOHVPNE</t>
  </si>
  <si>
    <t>224,000</t>
  </si>
  <si>
    <t>7</t>
  </si>
  <si>
    <t>XHD01-20251110-020</t>
  </si>
  <si>
    <t>CL21B104KBFWPNE</t>
  </si>
  <si>
    <t>80,000</t>
  </si>
  <si>
    <t>10</t>
  </si>
  <si>
    <t>CL21Y475KBBVPNE</t>
  </si>
  <si>
    <t>260,000</t>
  </si>
  <si>
    <t>2</t>
  </si>
  <si>
    <t>XHD01-20260106-035</t>
  </si>
  <si>
    <t>CL10B103KC8WPNC</t>
  </si>
  <si>
    <t>36,000</t>
  </si>
  <si>
    <t>1</t>
  </si>
  <si>
    <t>XHD01-20260126-008</t>
  </si>
  <si>
    <t>32,000</t>
  </si>
  <si>
    <t>XHD01-20260130-026</t>
  </si>
  <si>
    <t>188,000</t>
  </si>
  <si>
    <t>9</t>
  </si>
  <si>
    <t>XHD01-20260213-009</t>
  </si>
  <si>
    <t>CL05B472KB5VPNC</t>
  </si>
  <si>
    <t>90,000</t>
  </si>
  <si>
    <t>14</t>
  </si>
  <si>
    <t>CL05C470JB51PNC</t>
  </si>
  <si>
    <t>50,000</t>
  </si>
  <si>
    <t>16</t>
  </si>
  <si>
    <t>CL10B102KB8WPNC</t>
  </si>
  <si>
    <t>184,000</t>
  </si>
  <si>
    <t>19</t>
  </si>
  <si>
    <t>CL10B224KA8VPNC</t>
  </si>
  <si>
    <t>220,000</t>
  </si>
  <si>
    <t>27</t>
  </si>
  <si>
    <t>CL21B105KBFVPNE</t>
  </si>
  <si>
    <t>552,000</t>
  </si>
  <si>
    <t>30</t>
  </si>
  <si>
    <t>XHD01-20260213-010</t>
  </si>
  <si>
    <t>CL10B102KC8WPNC</t>
  </si>
  <si>
    <t>572,000</t>
  </si>
  <si>
    <t>3</t>
  </si>
  <si>
    <t>644,000</t>
  </si>
  <si>
    <t xml:space="preserve"> </t>
  </si>
  <si>
    <t>DS12650253</t>
  </si>
  <si>
    <t>PAGE : 1</t>
  </si>
  <si>
    <t>4</t>
  </si>
  <si>
    <t>CL10B104KC8VPNC</t>
  </si>
  <si>
    <t>244,000</t>
  </si>
  <si>
    <t>CL10C470JC81PNC</t>
  </si>
  <si>
    <t>XHD01-20260213-011</t>
  </si>
  <si>
    <t>720,000</t>
  </si>
  <si>
    <t>12</t>
  </si>
  <si>
    <t>940,000</t>
  </si>
  <si>
    <t>13</t>
  </si>
  <si>
    <t>XHD01-20260307-004</t>
  </si>
  <si>
    <t>30,000</t>
  </si>
  <si>
    <t>31</t>
  </si>
  <si>
    <t>CL31B105KBHWPNE</t>
  </si>
  <si>
    <t>18,000</t>
  </si>
  <si>
    <t>XHD01-20260402-027</t>
  </si>
  <si>
    <t>CL05C080DB51PNC</t>
  </si>
  <si>
    <t>180,000</t>
  </si>
  <si>
    <t>72,000</t>
  </si>
  <si>
    <t>XHD01-20260413-025</t>
  </si>
  <si>
    <t>20,000</t>
  </si>
  <si>
    <t>248,000</t>
  </si>
  <si>
    <t>15</t>
  </si>
  <si>
    <t>12,000</t>
  </si>
  <si>
    <t>XHD01-20260413-028</t>
  </si>
  <si>
    <t>428,000</t>
  </si>
  <si>
    <t>24,000</t>
  </si>
  <si>
    <t>92,000</t>
  </si>
  <si>
    <t>XHD01-20260429-049</t>
  </si>
  <si>
    <t>CL03Y473KQSVPNC</t>
  </si>
  <si>
    <t>470,000</t>
  </si>
  <si>
    <t>TOTAL :</t>
  </si>
  <si>
    <t>8,422,000</t>
  </si>
  <si>
    <t>Signed by</t>
  </si>
  <si>
    <t xml:space="preserve">
China</t>
    <phoneticPr fontId="27" type="noConversion"/>
  </si>
  <si>
    <r>
      <t>m</t>
    </r>
    <r>
      <rPr>
        <sz val="9"/>
        <color rgb="FF000000"/>
        <rFont val="카이겐고딕 KR Normal"/>
        <family val="3"/>
        <charset val="129"/>
      </rPr>
      <t>ade in Korea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</si>
</sst>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1"/>
      <color indexed="8"/>
      <name val="宋体"/>
      <family val="2"/>
      <scheme val="minor"/>
    </font>
    <font>
      <b/>
      <sz val="10.5"/>
      <color rgb="FF000000"/>
      <name val="카이겐고딕 KR Normal"/>
      <family val="3"/>
      <charset val="129"/>
    </font>
    <font>
      <b/>
      <sz val="10.5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8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Tahoma"/>
      <family val="2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10.5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0" fillId="2" borderId="8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12" fillId="2" borderId="9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righ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wrapText="1"/>
    </xf>
    <xf numFmtId="0" fontId="19" fillId="2" borderId="9" xfId="0" applyFont="1" applyFill="1" applyBorder="1" applyAlignment="1">
      <alignment horizontal="right" vertical="top" wrapText="1"/>
    </xf>
    <xf numFmtId="0" fontId="20" fillId="2" borderId="10" xfId="0" applyFont="1" applyFill="1" applyBorder="1" applyAlignment="1">
      <alignment horizontal="left" vertical="top" wrapText="1"/>
    </xf>
    <xf numFmtId="0" fontId="21" fillId="2" borderId="10" xfId="0" applyFont="1" applyFill="1" applyBorder="1" applyAlignment="1">
      <alignment horizontal="left" vertical="top" wrapText="1"/>
    </xf>
    <xf numFmtId="0" fontId="22" fillId="2" borderId="10" xfId="0" applyFont="1" applyFill="1" applyBorder="1" applyAlignment="1">
      <alignment horizontal="left" wrapText="1"/>
    </xf>
    <xf numFmtId="0" fontId="23" fillId="2" borderId="10" xfId="0" applyFont="1" applyFill="1" applyBorder="1" applyAlignment="1">
      <alignment horizontal="right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left" vertical="top" wrapText="1"/>
    </xf>
    <xf numFmtId="0" fontId="26" fillId="2" borderId="9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52</xdr:col>
      <xdr:colOff>3295650</xdr:colOff>
      <xdr:row>1</xdr:row>
      <xdr:rowOff>466725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L125"/>
  <sheetViews>
    <sheetView showGridLines="0" tabSelected="1" workbookViewId="0">
      <selection activeCell="DU7" sqref="DU7"/>
    </sheetView>
  </sheetViews>
  <sheetFormatPr defaultRowHeight="13.5"/>
  <cols>
    <col min="1" max="1" width="4.375" customWidth="1"/>
    <col min="2" max="2" width="0.75" customWidth="1"/>
    <col min="3" max="3" width="0.125" customWidth="1"/>
    <col min="4" max="4" width="0.75" customWidth="1"/>
    <col min="5" max="5" width="0.375" customWidth="1"/>
    <col min="6" max="6" width="0.125" customWidth="1"/>
    <col min="7" max="7" width="0.25" customWidth="1"/>
    <col min="8" max="8" width="0.125" customWidth="1"/>
    <col min="9" max="9" width="0.25" customWidth="1"/>
    <col min="10" max="10" width="3.25" customWidth="1"/>
    <col min="11" max="11" width="0.25" customWidth="1"/>
    <col min="12" max="12" width="0.125" customWidth="1"/>
    <col min="13" max="13" width="1.375" customWidth="1"/>
    <col min="14" max="14" width="0.625" customWidth="1"/>
    <col min="15" max="15" width="0.75" customWidth="1"/>
    <col min="16" max="16" width="1.375" customWidth="1"/>
    <col min="17" max="17" width="4.125" customWidth="1"/>
    <col min="18" max="19" width="0.125" customWidth="1"/>
    <col min="20" max="20" width="0.375" customWidth="1"/>
    <col min="21" max="21" width="0.25" customWidth="1"/>
    <col min="22" max="22" width="4.875" customWidth="1"/>
    <col min="23" max="23" width="2" customWidth="1"/>
    <col min="24" max="24" width="1" customWidth="1"/>
    <col min="25" max="25" width="1.25" customWidth="1"/>
    <col min="26" max="26" width="2.75" customWidth="1"/>
    <col min="27" max="27" width="0.625" customWidth="1"/>
    <col min="28" max="28" width="0.25" customWidth="1"/>
    <col min="29" max="29" width="0.125" customWidth="1"/>
    <col min="30" max="31" width="0.25" customWidth="1"/>
    <col min="32" max="32" width="0.125" customWidth="1"/>
    <col min="33" max="33" width="0.25" customWidth="1"/>
    <col min="34" max="34" width="0.375" customWidth="1"/>
    <col min="35" max="35" width="0.625" customWidth="1"/>
    <col min="36" max="36" width="0.75" customWidth="1"/>
    <col min="37" max="37" width="2.75" customWidth="1"/>
    <col min="38" max="38" width="3.75" customWidth="1"/>
    <col min="39" max="39" width="1.375" customWidth="1"/>
    <col min="40" max="40" width="1.875" customWidth="1"/>
    <col min="41" max="41" width="3" customWidth="1"/>
    <col min="42" max="42" width="0.25" customWidth="1"/>
    <col min="43" max="44" width="0.625" customWidth="1"/>
    <col min="45" max="46" width="0.125" customWidth="1"/>
    <col min="47" max="47" width="1.375" customWidth="1"/>
    <col min="48" max="48" width="0.25" customWidth="1"/>
    <col min="49" max="49" width="1.625" customWidth="1"/>
    <col min="50" max="50" width="0.125" customWidth="1"/>
    <col min="51" max="52" width="0.25" customWidth="1"/>
    <col min="53" max="53" width="1.75" customWidth="1"/>
    <col min="54" max="54" width="1.125" customWidth="1"/>
    <col min="55" max="55" width="0.75" customWidth="1"/>
    <col min="56" max="56" width="0.125" customWidth="1"/>
    <col min="57" max="58" width="0.75" customWidth="1"/>
    <col min="59" max="59" width="7.375" customWidth="1"/>
    <col min="60" max="61" width="0.625" customWidth="1"/>
    <col min="62" max="62" width="2.875" customWidth="1"/>
    <col min="63" max="63" width="0.375" customWidth="1"/>
    <col min="64" max="64" width="0.25" customWidth="1"/>
    <col min="65" max="65" width="0.125" customWidth="1"/>
    <col min="66" max="66" width="0.25" customWidth="1"/>
    <col min="67" max="68" width="0.125" customWidth="1"/>
    <col min="69" max="69" width="0.25" customWidth="1"/>
    <col min="70" max="70" width="0.875" customWidth="1"/>
    <col min="71" max="71" width="0.375" customWidth="1"/>
    <col min="72" max="72" width="0.125" customWidth="1"/>
    <col min="73" max="73" width="1" customWidth="1"/>
    <col min="74" max="75" width="0.375" customWidth="1"/>
    <col min="76" max="76" width="0.625" customWidth="1"/>
    <col min="77" max="77" width="0.375" customWidth="1"/>
    <col min="78" max="78" width="3.125" customWidth="1"/>
    <col min="79" max="79" width="0.875" customWidth="1"/>
    <col min="80" max="80" width="2.25" customWidth="1"/>
    <col min="81" max="81" width="0.375" customWidth="1"/>
    <col min="82" max="82" width="0.125" customWidth="1"/>
    <col min="83" max="84" width="0.25" customWidth="1"/>
    <col min="85" max="85" width="0.125" customWidth="1"/>
    <col min="86" max="86" width="0.875" customWidth="1"/>
    <col min="87" max="87" width="2.75" customWidth="1"/>
    <col min="88" max="88" width="2.875" customWidth="1"/>
    <col min="89" max="89" width="1.25" customWidth="1"/>
    <col min="90" max="90" width="2.125" customWidth="1"/>
    <col min="91" max="91" width="0.875" customWidth="1"/>
    <col min="92" max="92" width="0.625" customWidth="1"/>
    <col min="93" max="95" width="0.125" customWidth="1"/>
    <col min="96" max="96" width="0.25" customWidth="1"/>
    <col min="97" max="97" width="0.125" customWidth="1"/>
    <col min="98" max="98" width="0.375" customWidth="1"/>
    <col min="99" max="99" width="1.125" customWidth="1"/>
    <col min="100" max="100" width="3.875" customWidth="1"/>
    <col min="101" max="101" width="1" customWidth="1"/>
    <col min="102" max="102" width="1.375" customWidth="1"/>
    <col min="103" max="103" width="0.625" customWidth="1"/>
    <col min="104" max="104" width="3.625" customWidth="1"/>
    <col min="105" max="105" width="0.25" customWidth="1"/>
    <col min="106" max="106" width="0.375" customWidth="1"/>
    <col min="107" max="107" width="0.125" customWidth="1"/>
    <col min="108" max="108" width="0.25" customWidth="1"/>
    <col min="109" max="109" width="0.125" customWidth="1"/>
    <col min="110" max="110" width="0.25" customWidth="1"/>
    <col min="111" max="111" width="0.375" customWidth="1"/>
    <col min="112" max="112" width="0.25" customWidth="1"/>
    <col min="113" max="113" width="0.125" customWidth="1"/>
    <col min="114" max="114" width="0.25" customWidth="1"/>
    <col min="115" max="115" width="1.375" customWidth="1"/>
    <col min="116" max="116" width="2.125" customWidth="1"/>
  </cols>
  <sheetData>
    <row r="1" spans="6:107" ht="21" customHeight="1"/>
    <row r="2" spans="6:107" ht="36.75" customHeight="1"/>
    <row r="3" spans="6:107" ht="2.25" customHeight="1"/>
    <row r="4" spans="6:107" ht="18.75" customHeight="1">
      <c r="G4" s="1" t="s"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2" t="s">
        <v>1</v>
      </c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</row>
    <row r="5" spans="6:107" ht="12.75" customHeight="1"/>
    <row r="6" spans="6:107" ht="18.75" customHeight="1">
      <c r="F6" s="3" t="s">
        <v>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4" t="s">
        <v>3</v>
      </c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</row>
    <row r="7" spans="6:107" ht="37.5" customHeight="1">
      <c r="F7" s="5" t="s">
        <v>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6" t="s">
        <v>5</v>
      </c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</row>
    <row r="8" spans="6:107" ht="18.75" customHeight="1"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4" t="s">
        <v>6</v>
      </c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</row>
    <row r="9" spans="6:107" ht="22.5" customHeight="1"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6" t="s">
        <v>7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</row>
    <row r="10" spans="6:107" ht="18.75" customHeight="1">
      <c r="F10" s="3" t="s">
        <v>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4" t="s">
        <v>9</v>
      </c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</row>
    <row r="11" spans="6:107" ht="45" customHeight="1">
      <c r="F11" s="5" t="s">
        <v>10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</row>
    <row r="12" spans="6:107" ht="18.75" customHeight="1"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4" t="s">
        <v>11</v>
      </c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</row>
    <row r="13" spans="6:107" ht="18.75" customHeight="1">
      <c r="F13" s="7" t="s">
        <v>12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</row>
    <row r="14" spans="6:107" ht="47.25" customHeight="1">
      <c r="F14" s="5" t="s">
        <v>13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</row>
    <row r="15" spans="6:107" ht="18.75" customHeight="1">
      <c r="F15" s="3" t="s">
        <v>14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9" t="s">
        <v>15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</row>
    <row r="16" spans="6:107" ht="33" customHeight="1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27" t="s">
        <v>124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</row>
    <row r="17" spans="2:107" ht="18.75" customHeight="1">
      <c r="F17" s="3" t="s">
        <v>16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9" t="s">
        <v>17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28" t="s">
        <v>125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</row>
    <row r="18" spans="2:107" ht="18.75" customHeight="1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</row>
    <row r="19" spans="2:107" ht="18.75" customHeight="1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</row>
    <row r="20" spans="2:107" ht="21" customHeight="1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</row>
    <row r="21" spans="2:107" ht="0.75" customHeight="1"/>
    <row r="22" spans="2:107" ht="17.25" customHeight="1">
      <c r="G22" s="13" t="s">
        <v>18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 t="s">
        <v>19</v>
      </c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 t="s">
        <v>20</v>
      </c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 t="s">
        <v>21</v>
      </c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 t="s">
        <v>22</v>
      </c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</row>
    <row r="23" spans="2:107" ht="0.75" customHeight="1"/>
    <row r="24" spans="2:107" ht="25.5" customHeight="1">
      <c r="G24" s="11" t="s">
        <v>23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</row>
    <row r="25" spans="2:107" ht="13.5" customHeight="1">
      <c r="BE25" s="14" t="s">
        <v>24</v>
      </c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2:107" ht="13.5" customHeight="1">
      <c r="C26" s="14" t="s">
        <v>25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2:107" ht="18.75" customHeight="1"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3" t="s">
        <v>27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 t="s">
        <v>28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 t="s">
        <v>29</v>
      </c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6" t="s">
        <v>30</v>
      </c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 t="s">
        <v>31</v>
      </c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 t="s">
        <v>32</v>
      </c>
      <c r="CU27" s="16"/>
      <c r="CV27" s="16"/>
      <c r="CW27" s="16"/>
      <c r="CX27" s="16"/>
      <c r="CY27" s="16"/>
      <c r="CZ27" s="16"/>
      <c r="DA27" s="16"/>
      <c r="DB27" s="16"/>
      <c r="DC27" s="16"/>
    </row>
    <row r="28" spans="2:107" ht="15" customHeight="1">
      <c r="B28" s="15" t="s">
        <v>33</v>
      </c>
      <c r="C28" s="15"/>
      <c r="D28" s="15"/>
      <c r="E28" s="15"/>
      <c r="F28" s="15"/>
      <c r="G28" s="15"/>
      <c r="H28" s="15"/>
      <c r="I28" s="15"/>
      <c r="J28" s="15"/>
      <c r="K28" s="15"/>
      <c r="L28" s="13" t="s">
        <v>34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3" t="s">
        <v>35</v>
      </c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6" t="s">
        <v>36</v>
      </c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>
        <v>1</v>
      </c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>
        <f>BQ28*CE28</f>
        <v>164000</v>
      </c>
      <c r="CU28" s="16"/>
      <c r="CV28" s="16"/>
      <c r="CW28" s="16"/>
      <c r="CX28" s="16"/>
      <c r="CY28" s="16"/>
      <c r="CZ28" s="16"/>
      <c r="DA28" s="16"/>
      <c r="DB28" s="16"/>
      <c r="DC28" s="16"/>
    </row>
    <row r="29" spans="2:107" ht="15" customHeight="1">
      <c r="B29" s="15" t="s">
        <v>37</v>
      </c>
      <c r="C29" s="15"/>
      <c r="D29" s="15"/>
      <c r="E29" s="15"/>
      <c r="F29" s="15"/>
      <c r="G29" s="15"/>
      <c r="H29" s="15"/>
      <c r="I29" s="15"/>
      <c r="J29" s="15"/>
      <c r="K29" s="15"/>
      <c r="L29" s="13" t="s">
        <v>38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3" t="s">
        <v>39</v>
      </c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6" t="s">
        <v>40</v>
      </c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>
        <v>2</v>
      </c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>
        <f t="shared" ref="CT29:CT45" si="0">BQ29*CE29</f>
        <v>1336000</v>
      </c>
      <c r="CU29" s="16"/>
      <c r="CV29" s="16"/>
      <c r="CW29" s="16"/>
      <c r="CX29" s="16"/>
      <c r="CY29" s="16"/>
      <c r="CZ29" s="16"/>
      <c r="DA29" s="16"/>
      <c r="DB29" s="16"/>
      <c r="DC29" s="16"/>
    </row>
    <row r="30" spans="2:107" ht="15" customHeight="1">
      <c r="B30" s="15" t="s">
        <v>41</v>
      </c>
      <c r="C30" s="15"/>
      <c r="D30" s="15"/>
      <c r="E30" s="15"/>
      <c r="F30" s="15"/>
      <c r="G30" s="15"/>
      <c r="H30" s="15"/>
      <c r="I30" s="15"/>
      <c r="J30" s="15"/>
      <c r="K30" s="15"/>
      <c r="L30" s="13" t="s">
        <v>38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3" t="s">
        <v>42</v>
      </c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6" t="s">
        <v>43</v>
      </c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>
        <v>3</v>
      </c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>
        <f t="shared" si="0"/>
        <v>132000</v>
      </c>
      <c r="CU30" s="16"/>
      <c r="CV30" s="16"/>
      <c r="CW30" s="16"/>
      <c r="CX30" s="16"/>
      <c r="CY30" s="16"/>
      <c r="CZ30" s="16"/>
      <c r="DA30" s="16"/>
      <c r="DB30" s="16"/>
      <c r="DC30" s="16"/>
    </row>
    <row r="31" spans="2:107" ht="15" customHeight="1">
      <c r="B31" s="15" t="s">
        <v>44</v>
      </c>
      <c r="C31" s="15"/>
      <c r="D31" s="15"/>
      <c r="E31" s="15"/>
      <c r="F31" s="15"/>
      <c r="G31" s="15"/>
      <c r="H31" s="15"/>
      <c r="I31" s="15"/>
      <c r="J31" s="15"/>
      <c r="K31" s="15"/>
      <c r="L31" s="13" t="s">
        <v>38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3" t="s">
        <v>45</v>
      </c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6" t="s">
        <v>46</v>
      </c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>
        <v>4</v>
      </c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>
        <f t="shared" si="0"/>
        <v>808000</v>
      </c>
      <c r="CU31" s="16"/>
      <c r="CV31" s="16"/>
      <c r="CW31" s="16"/>
      <c r="CX31" s="16"/>
      <c r="CY31" s="16"/>
      <c r="CZ31" s="16"/>
      <c r="DA31" s="16"/>
      <c r="DB31" s="16"/>
      <c r="DC31" s="16"/>
    </row>
    <row r="32" spans="2:107" ht="15" customHeight="1">
      <c r="B32" s="15" t="s">
        <v>37</v>
      </c>
      <c r="C32" s="15"/>
      <c r="D32" s="15"/>
      <c r="E32" s="15"/>
      <c r="F32" s="15"/>
      <c r="G32" s="15"/>
      <c r="H32" s="15"/>
      <c r="I32" s="15"/>
      <c r="J32" s="15"/>
      <c r="K32" s="15"/>
      <c r="L32" s="13" t="s">
        <v>47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3" t="s">
        <v>48</v>
      </c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6" t="s">
        <v>49</v>
      </c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>
        <v>1</v>
      </c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>
        <f t="shared" si="0"/>
        <v>224000</v>
      </c>
      <c r="CU32" s="16"/>
      <c r="CV32" s="16"/>
      <c r="CW32" s="16"/>
      <c r="CX32" s="16"/>
      <c r="CY32" s="16"/>
      <c r="CZ32" s="16"/>
      <c r="DA32" s="16"/>
      <c r="DB32" s="16"/>
      <c r="DC32" s="16"/>
    </row>
    <row r="33" spans="2:107" ht="15" customHeight="1">
      <c r="B33" s="15" t="s">
        <v>50</v>
      </c>
      <c r="C33" s="15"/>
      <c r="D33" s="15"/>
      <c r="E33" s="15"/>
      <c r="F33" s="15"/>
      <c r="G33" s="15"/>
      <c r="H33" s="15"/>
      <c r="I33" s="15"/>
      <c r="J33" s="15"/>
      <c r="K33" s="15"/>
      <c r="L33" s="13" t="s">
        <v>51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3" t="s">
        <v>52</v>
      </c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6" t="s">
        <v>53</v>
      </c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>
        <v>2</v>
      </c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>
        <f t="shared" si="0"/>
        <v>160000</v>
      </c>
      <c r="CU33" s="16"/>
      <c r="CV33" s="16"/>
      <c r="CW33" s="16"/>
      <c r="CX33" s="16"/>
      <c r="CY33" s="16"/>
      <c r="CZ33" s="16"/>
      <c r="DA33" s="16"/>
      <c r="DB33" s="16"/>
      <c r="DC33" s="16"/>
    </row>
    <row r="34" spans="2:107" ht="15" customHeight="1">
      <c r="B34" s="15" t="s">
        <v>54</v>
      </c>
      <c r="C34" s="15"/>
      <c r="D34" s="15"/>
      <c r="E34" s="15"/>
      <c r="F34" s="15"/>
      <c r="G34" s="15"/>
      <c r="H34" s="15"/>
      <c r="I34" s="15"/>
      <c r="J34" s="15"/>
      <c r="K34" s="15"/>
      <c r="L34" s="13" t="s">
        <v>51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3" t="s">
        <v>55</v>
      </c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6" t="s">
        <v>56</v>
      </c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>
        <v>3</v>
      </c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>
        <f t="shared" si="0"/>
        <v>780000</v>
      </c>
      <c r="CU34" s="16"/>
      <c r="CV34" s="16"/>
      <c r="CW34" s="16"/>
      <c r="CX34" s="16"/>
      <c r="CY34" s="16"/>
      <c r="CZ34" s="16"/>
      <c r="DA34" s="16"/>
      <c r="DB34" s="16"/>
      <c r="DC34" s="16"/>
    </row>
    <row r="35" spans="2:107" ht="15" customHeight="1">
      <c r="B35" s="15" t="s">
        <v>57</v>
      </c>
      <c r="C35" s="15"/>
      <c r="D35" s="15"/>
      <c r="E35" s="15"/>
      <c r="F35" s="15"/>
      <c r="G35" s="15"/>
      <c r="H35" s="15"/>
      <c r="I35" s="15"/>
      <c r="J35" s="15"/>
      <c r="K35" s="15"/>
      <c r="L35" s="13" t="s">
        <v>58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3" t="s">
        <v>59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6" t="s">
        <v>60</v>
      </c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>
        <v>4</v>
      </c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>
        <f t="shared" si="0"/>
        <v>144000</v>
      </c>
      <c r="CU35" s="16"/>
      <c r="CV35" s="16"/>
      <c r="CW35" s="16"/>
      <c r="CX35" s="16"/>
      <c r="CY35" s="16"/>
      <c r="CZ35" s="16"/>
      <c r="DA35" s="16"/>
      <c r="DB35" s="16"/>
      <c r="DC35" s="16"/>
    </row>
    <row r="36" spans="2:107" ht="15" customHeight="1">
      <c r="B36" s="15" t="s">
        <v>61</v>
      </c>
      <c r="C36" s="15"/>
      <c r="D36" s="15"/>
      <c r="E36" s="15"/>
      <c r="F36" s="15"/>
      <c r="G36" s="15"/>
      <c r="H36" s="15"/>
      <c r="I36" s="15"/>
      <c r="J36" s="15"/>
      <c r="K36" s="15"/>
      <c r="L36" s="13" t="s">
        <v>62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3" t="s">
        <v>59</v>
      </c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6" t="s">
        <v>63</v>
      </c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>
        <v>1</v>
      </c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>
        <f t="shared" si="0"/>
        <v>32000</v>
      </c>
      <c r="CU36" s="16"/>
      <c r="CV36" s="16"/>
      <c r="CW36" s="16"/>
      <c r="CX36" s="16"/>
      <c r="CY36" s="16"/>
      <c r="CZ36" s="16"/>
      <c r="DA36" s="16"/>
      <c r="DB36" s="16"/>
      <c r="DC36" s="16"/>
    </row>
    <row r="37" spans="2:107" ht="15" customHeight="1">
      <c r="B37" s="15" t="s">
        <v>57</v>
      </c>
      <c r="C37" s="15"/>
      <c r="D37" s="15"/>
      <c r="E37" s="15"/>
      <c r="F37" s="15"/>
      <c r="G37" s="15"/>
      <c r="H37" s="15"/>
      <c r="I37" s="15"/>
      <c r="J37" s="15"/>
      <c r="K37" s="15"/>
      <c r="L37" s="13" t="s">
        <v>64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3" t="s">
        <v>59</v>
      </c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6" t="s">
        <v>65</v>
      </c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>
        <v>2</v>
      </c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>
        <f t="shared" si="0"/>
        <v>376000</v>
      </c>
      <c r="CU37" s="16"/>
      <c r="CV37" s="16"/>
      <c r="CW37" s="16"/>
      <c r="CX37" s="16"/>
      <c r="CY37" s="16"/>
      <c r="CZ37" s="16"/>
      <c r="DA37" s="16"/>
      <c r="DB37" s="16"/>
      <c r="DC37" s="16"/>
    </row>
    <row r="38" spans="2:107" ht="15" customHeight="1">
      <c r="B38" s="15" t="s">
        <v>66</v>
      </c>
      <c r="C38" s="15"/>
      <c r="D38" s="15"/>
      <c r="E38" s="15"/>
      <c r="F38" s="15"/>
      <c r="G38" s="15"/>
      <c r="H38" s="15"/>
      <c r="I38" s="15"/>
      <c r="J38" s="15"/>
      <c r="K38" s="15"/>
      <c r="L38" s="13" t="s">
        <v>67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3" t="s">
        <v>68</v>
      </c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6" t="s">
        <v>69</v>
      </c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>
        <v>3</v>
      </c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>
        <f t="shared" si="0"/>
        <v>270000</v>
      </c>
      <c r="CU38" s="16"/>
      <c r="CV38" s="16"/>
      <c r="CW38" s="16"/>
      <c r="CX38" s="16"/>
      <c r="CY38" s="16"/>
      <c r="CZ38" s="16"/>
      <c r="DA38" s="16"/>
      <c r="DB38" s="16"/>
      <c r="DC38" s="16"/>
    </row>
    <row r="39" spans="2:107" ht="15" customHeight="1">
      <c r="B39" s="15" t="s">
        <v>70</v>
      </c>
      <c r="C39" s="15"/>
      <c r="D39" s="15"/>
      <c r="E39" s="15"/>
      <c r="F39" s="15"/>
      <c r="G39" s="15"/>
      <c r="H39" s="15"/>
      <c r="I39" s="15"/>
      <c r="J39" s="15"/>
      <c r="K39" s="15"/>
      <c r="L39" s="13" t="s">
        <v>67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3" t="s">
        <v>71</v>
      </c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6" t="s">
        <v>72</v>
      </c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>
        <v>4</v>
      </c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>
        <f t="shared" si="0"/>
        <v>200000</v>
      </c>
      <c r="CU39" s="16"/>
      <c r="CV39" s="16"/>
      <c r="CW39" s="16"/>
      <c r="CX39" s="16"/>
      <c r="CY39" s="16"/>
      <c r="CZ39" s="16"/>
      <c r="DA39" s="16"/>
      <c r="DB39" s="16"/>
      <c r="DC39" s="16"/>
    </row>
    <row r="40" spans="2:107" ht="15" customHeight="1">
      <c r="B40" s="15" t="s">
        <v>73</v>
      </c>
      <c r="C40" s="15"/>
      <c r="D40" s="15"/>
      <c r="E40" s="15"/>
      <c r="F40" s="15"/>
      <c r="G40" s="15"/>
      <c r="H40" s="15"/>
      <c r="I40" s="15"/>
      <c r="J40" s="15"/>
      <c r="K40" s="15"/>
      <c r="L40" s="13" t="s">
        <v>67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3" t="s">
        <v>74</v>
      </c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6" t="s">
        <v>75</v>
      </c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>
        <v>1</v>
      </c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>
        <f t="shared" si="0"/>
        <v>184000</v>
      </c>
      <c r="CU40" s="16"/>
      <c r="CV40" s="16"/>
      <c r="CW40" s="16"/>
      <c r="CX40" s="16"/>
      <c r="CY40" s="16"/>
      <c r="CZ40" s="16"/>
      <c r="DA40" s="16"/>
      <c r="DB40" s="16"/>
      <c r="DC40" s="16"/>
    </row>
    <row r="41" spans="2:107" ht="15" customHeight="1">
      <c r="B41" s="15" t="s">
        <v>76</v>
      </c>
      <c r="C41" s="15"/>
      <c r="D41" s="15"/>
      <c r="E41" s="15"/>
      <c r="F41" s="15"/>
      <c r="G41" s="15"/>
      <c r="H41" s="15"/>
      <c r="I41" s="15"/>
      <c r="J41" s="15"/>
      <c r="K41" s="15"/>
      <c r="L41" s="13" t="s">
        <v>67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3" t="s">
        <v>77</v>
      </c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6" t="s">
        <v>78</v>
      </c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>
        <v>2</v>
      </c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>
        <f t="shared" si="0"/>
        <v>440000</v>
      </c>
      <c r="CU41" s="16"/>
      <c r="CV41" s="16"/>
      <c r="CW41" s="16"/>
      <c r="CX41" s="16"/>
      <c r="CY41" s="16"/>
      <c r="CZ41" s="16"/>
      <c r="DA41" s="16"/>
      <c r="DB41" s="16"/>
      <c r="DC41" s="16"/>
    </row>
    <row r="42" spans="2:107" ht="15" customHeight="1">
      <c r="B42" s="15" t="s">
        <v>79</v>
      </c>
      <c r="C42" s="15"/>
      <c r="D42" s="15"/>
      <c r="E42" s="15"/>
      <c r="F42" s="15"/>
      <c r="G42" s="15"/>
      <c r="H42" s="15"/>
      <c r="I42" s="15"/>
      <c r="J42" s="15"/>
      <c r="K42" s="15"/>
      <c r="L42" s="13" t="s">
        <v>67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3" t="s">
        <v>80</v>
      </c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6" t="s">
        <v>81</v>
      </c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>
        <v>3</v>
      </c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>
        <f t="shared" si="0"/>
        <v>1656000</v>
      </c>
      <c r="CU42" s="16"/>
      <c r="CV42" s="16"/>
      <c r="CW42" s="16"/>
      <c r="CX42" s="16"/>
      <c r="CY42" s="16"/>
      <c r="CZ42" s="16"/>
      <c r="DA42" s="16"/>
      <c r="DB42" s="16"/>
      <c r="DC42" s="16"/>
    </row>
    <row r="43" spans="2:107" ht="15" customHeight="1">
      <c r="B43" s="15" t="s">
        <v>82</v>
      </c>
      <c r="C43" s="15"/>
      <c r="D43" s="15"/>
      <c r="E43" s="15"/>
      <c r="F43" s="15"/>
      <c r="G43" s="15"/>
      <c r="H43" s="15"/>
      <c r="I43" s="15"/>
      <c r="J43" s="15"/>
      <c r="K43" s="15"/>
      <c r="L43" s="13" t="s">
        <v>67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3" t="s">
        <v>55</v>
      </c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6" t="s">
        <v>81</v>
      </c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>
        <v>4</v>
      </c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>
        <f t="shared" si="0"/>
        <v>2208000</v>
      </c>
      <c r="CU43" s="16"/>
      <c r="CV43" s="16"/>
      <c r="CW43" s="16"/>
      <c r="CX43" s="16"/>
      <c r="CY43" s="16"/>
      <c r="CZ43" s="16"/>
      <c r="DA43" s="16"/>
      <c r="DB43" s="16"/>
      <c r="DC43" s="16"/>
    </row>
    <row r="44" spans="2:107" ht="15" customHeight="1">
      <c r="B44" s="15" t="s">
        <v>57</v>
      </c>
      <c r="C44" s="15"/>
      <c r="D44" s="15"/>
      <c r="E44" s="15"/>
      <c r="F44" s="15"/>
      <c r="G44" s="15"/>
      <c r="H44" s="15"/>
      <c r="I44" s="15"/>
      <c r="J44" s="15"/>
      <c r="K44" s="15"/>
      <c r="L44" s="13" t="s">
        <v>83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3" t="s">
        <v>84</v>
      </c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6" t="s">
        <v>85</v>
      </c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>
        <v>1</v>
      </c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>
        <f t="shared" si="0"/>
        <v>572000</v>
      </c>
      <c r="CU44" s="16"/>
      <c r="CV44" s="16"/>
      <c r="CW44" s="16"/>
      <c r="CX44" s="16"/>
      <c r="CY44" s="16"/>
      <c r="CZ44" s="16"/>
      <c r="DA44" s="16"/>
      <c r="DB44" s="16"/>
      <c r="DC44" s="16"/>
    </row>
    <row r="45" spans="2:107" ht="15" customHeight="1">
      <c r="B45" s="15" t="s">
        <v>86</v>
      </c>
      <c r="C45" s="15"/>
      <c r="D45" s="15"/>
      <c r="E45" s="15"/>
      <c r="F45" s="15"/>
      <c r="G45" s="15"/>
      <c r="H45" s="15"/>
      <c r="I45" s="15"/>
      <c r="J45" s="15"/>
      <c r="K45" s="15"/>
      <c r="L45" s="13" t="s">
        <v>83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3" t="s">
        <v>59</v>
      </c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6" t="s">
        <v>87</v>
      </c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>
        <v>2</v>
      </c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>
        <f t="shared" si="0"/>
        <v>1288000</v>
      </c>
      <c r="CU45" s="16"/>
      <c r="CV45" s="16"/>
      <c r="CW45" s="16"/>
      <c r="CX45" s="16"/>
      <c r="CY45" s="16"/>
      <c r="CZ45" s="16"/>
      <c r="DA45" s="16"/>
      <c r="DB45" s="16"/>
      <c r="DC45" s="16"/>
    </row>
    <row r="46" spans="2:107" ht="2.25" customHeight="1"/>
    <row r="47" spans="2:107" ht="13.5" customHeight="1"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</row>
    <row r="48" spans="2:107" ht="2.25" customHeight="1"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</row>
    <row r="49" spans="2:116" ht="15.75" customHeight="1"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</row>
    <row r="50" spans="2:116" ht="15.75" customHeight="1"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DL50" t="s">
        <v>88</v>
      </c>
    </row>
    <row r="51" spans="2:116" ht="12" customHeight="1"/>
    <row r="52" spans="2:116" ht="30" customHeight="1">
      <c r="G52" s="18" t="s">
        <v>89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9" t="s">
        <v>90</v>
      </c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</row>
    <row r="53" spans="2:116" ht="15" customHeight="1">
      <c r="G53" s="20"/>
      <c r="H53" s="20"/>
      <c r="I53" s="20"/>
      <c r="J53" s="20"/>
      <c r="K53" s="20"/>
      <c r="L53" s="20"/>
      <c r="M53" s="20"/>
      <c r="N53" s="20"/>
      <c r="O53" s="20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</row>
    <row r="54" spans="2:116" ht="3" customHeight="1"/>
    <row r="55" spans="2:116" ht="13.5" customHeight="1">
      <c r="C55" s="14" t="s">
        <v>25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</row>
    <row r="56" spans="2:116" ht="18.75" customHeight="1">
      <c r="B56" s="15" t="s">
        <v>26</v>
      </c>
      <c r="C56" s="15"/>
      <c r="D56" s="15"/>
      <c r="E56" s="15"/>
      <c r="F56" s="15"/>
      <c r="G56" s="15"/>
      <c r="H56" s="15"/>
      <c r="I56" s="15"/>
      <c r="J56" s="15"/>
      <c r="K56" s="15"/>
      <c r="L56" s="13" t="s">
        <v>27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 t="s">
        <v>28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 t="s">
        <v>29</v>
      </c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6" t="s">
        <v>30</v>
      </c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 t="s">
        <v>31</v>
      </c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 t="s">
        <v>32</v>
      </c>
      <c r="CU56" s="16"/>
      <c r="CV56" s="16"/>
      <c r="CW56" s="16"/>
      <c r="CX56" s="16"/>
      <c r="CY56" s="16"/>
      <c r="CZ56" s="16"/>
      <c r="DA56" s="16"/>
      <c r="DB56" s="16"/>
      <c r="DC56" s="16"/>
    </row>
    <row r="57" spans="2:116" ht="15" customHeight="1">
      <c r="B57" s="15" t="s">
        <v>91</v>
      </c>
      <c r="C57" s="15"/>
      <c r="D57" s="15"/>
      <c r="E57" s="15"/>
      <c r="F57" s="15"/>
      <c r="G57" s="15"/>
      <c r="H57" s="15"/>
      <c r="I57" s="15"/>
      <c r="J57" s="15"/>
      <c r="K57" s="15"/>
      <c r="L57" s="13" t="s">
        <v>83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3" t="s">
        <v>92</v>
      </c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6" t="s">
        <v>93</v>
      </c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>
        <v>3</v>
      </c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>
        <f t="shared" ref="CT57" si="1">BQ57*CE57</f>
        <v>732000</v>
      </c>
      <c r="CU57" s="16"/>
      <c r="CV57" s="16"/>
      <c r="CW57" s="16"/>
      <c r="CX57" s="16"/>
      <c r="CY57" s="16"/>
      <c r="CZ57" s="16"/>
      <c r="DA57" s="16"/>
      <c r="DB57" s="16"/>
      <c r="DC57" s="16"/>
    </row>
    <row r="58" spans="2:116" ht="15" customHeight="1">
      <c r="B58" s="15" t="s">
        <v>50</v>
      </c>
      <c r="C58" s="15"/>
      <c r="D58" s="15"/>
      <c r="E58" s="15"/>
      <c r="F58" s="15"/>
      <c r="G58" s="15"/>
      <c r="H58" s="15"/>
      <c r="I58" s="15"/>
      <c r="J58" s="15"/>
      <c r="K58" s="15"/>
      <c r="L58" s="13" t="s">
        <v>83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3" t="s">
        <v>94</v>
      </c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6" t="s">
        <v>43</v>
      </c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>
        <v>4</v>
      </c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>
        <f t="shared" ref="CT58:CT74" si="2">BQ58*CE58</f>
        <v>176000</v>
      </c>
      <c r="CU58" s="16"/>
      <c r="CV58" s="16"/>
      <c r="CW58" s="16"/>
      <c r="CX58" s="16"/>
      <c r="CY58" s="16"/>
      <c r="CZ58" s="16"/>
      <c r="DA58" s="16"/>
      <c r="DB58" s="16"/>
      <c r="DC58" s="16"/>
    </row>
    <row r="59" spans="2:116" ht="15" customHeight="1">
      <c r="B59" s="15" t="s">
        <v>37</v>
      </c>
      <c r="C59" s="15"/>
      <c r="D59" s="15"/>
      <c r="E59" s="15"/>
      <c r="F59" s="15"/>
      <c r="G59" s="15"/>
      <c r="H59" s="15"/>
      <c r="I59" s="15"/>
      <c r="J59" s="15"/>
      <c r="K59" s="15"/>
      <c r="L59" s="13" t="s">
        <v>95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3" t="s">
        <v>68</v>
      </c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6" t="s">
        <v>96</v>
      </c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>
        <v>1</v>
      </c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>
        <f t="shared" si="2"/>
        <v>720000</v>
      </c>
      <c r="CU59" s="16"/>
      <c r="CV59" s="16"/>
      <c r="CW59" s="16"/>
      <c r="CX59" s="16"/>
      <c r="CY59" s="16"/>
      <c r="CZ59" s="16"/>
      <c r="DA59" s="16"/>
      <c r="DB59" s="16"/>
      <c r="DC59" s="16"/>
    </row>
    <row r="60" spans="2:116" ht="15" customHeight="1">
      <c r="B60" s="15" t="s">
        <v>97</v>
      </c>
      <c r="C60" s="15"/>
      <c r="D60" s="15"/>
      <c r="E60" s="15"/>
      <c r="F60" s="15"/>
      <c r="G60" s="15"/>
      <c r="H60" s="15"/>
      <c r="I60" s="15"/>
      <c r="J60" s="15"/>
      <c r="K60" s="15"/>
      <c r="L60" s="13" t="s">
        <v>95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3" t="s">
        <v>71</v>
      </c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6" t="s">
        <v>72</v>
      </c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>
        <v>2</v>
      </c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>
        <f t="shared" si="2"/>
        <v>100000</v>
      </c>
      <c r="CU60" s="16"/>
      <c r="CV60" s="16"/>
      <c r="CW60" s="16"/>
      <c r="CX60" s="16"/>
      <c r="CY60" s="16"/>
      <c r="CZ60" s="16"/>
      <c r="DA60" s="16"/>
      <c r="DB60" s="16"/>
      <c r="DC60" s="16"/>
    </row>
    <row r="61" spans="2:116" ht="15" customHeight="1">
      <c r="B61" s="15" t="s">
        <v>70</v>
      </c>
      <c r="C61" s="15"/>
      <c r="D61" s="15"/>
      <c r="E61" s="15"/>
      <c r="F61" s="15"/>
      <c r="G61" s="15"/>
      <c r="H61" s="15"/>
      <c r="I61" s="15"/>
      <c r="J61" s="15"/>
      <c r="K61" s="15"/>
      <c r="L61" s="13" t="s">
        <v>95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3" t="s">
        <v>74</v>
      </c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6" t="s">
        <v>98</v>
      </c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>
        <v>3</v>
      </c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>
        <f t="shared" si="2"/>
        <v>2820000</v>
      </c>
      <c r="CU61" s="16"/>
      <c r="CV61" s="16"/>
      <c r="CW61" s="16"/>
      <c r="CX61" s="16"/>
      <c r="CY61" s="16"/>
      <c r="CZ61" s="16"/>
      <c r="DA61" s="16"/>
      <c r="DB61" s="16"/>
      <c r="DC61" s="16"/>
    </row>
    <row r="62" spans="2:116" ht="15" customHeight="1">
      <c r="B62" s="15" t="s">
        <v>99</v>
      </c>
      <c r="C62" s="15"/>
      <c r="D62" s="15"/>
      <c r="E62" s="15"/>
      <c r="F62" s="15"/>
      <c r="G62" s="15"/>
      <c r="H62" s="15"/>
      <c r="I62" s="15"/>
      <c r="J62" s="15"/>
      <c r="K62" s="15"/>
      <c r="L62" s="13" t="s">
        <v>100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3" t="s">
        <v>71</v>
      </c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6" t="s">
        <v>101</v>
      </c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>
        <v>4</v>
      </c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>
        <f t="shared" si="2"/>
        <v>120000</v>
      </c>
      <c r="CU62" s="16"/>
      <c r="CV62" s="16"/>
      <c r="CW62" s="16"/>
      <c r="CX62" s="16"/>
      <c r="CY62" s="16"/>
      <c r="CZ62" s="16"/>
      <c r="DA62" s="16"/>
      <c r="DB62" s="16"/>
      <c r="DC62" s="16"/>
    </row>
    <row r="63" spans="2:116" ht="15" customHeight="1">
      <c r="B63" s="15" t="s">
        <v>102</v>
      </c>
      <c r="C63" s="15"/>
      <c r="D63" s="15"/>
      <c r="E63" s="15"/>
      <c r="F63" s="15"/>
      <c r="G63" s="15"/>
      <c r="H63" s="15"/>
      <c r="I63" s="15"/>
      <c r="J63" s="15"/>
      <c r="K63" s="15"/>
      <c r="L63" s="13" t="s">
        <v>100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3" t="s">
        <v>103</v>
      </c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6" t="s">
        <v>104</v>
      </c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>
        <v>1</v>
      </c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>
        <f t="shared" si="2"/>
        <v>18000</v>
      </c>
      <c r="CU63" s="16"/>
      <c r="CV63" s="16"/>
      <c r="CW63" s="16"/>
      <c r="CX63" s="16"/>
      <c r="CY63" s="16"/>
      <c r="CZ63" s="16"/>
      <c r="DA63" s="16"/>
      <c r="DB63" s="16"/>
      <c r="DC63" s="16"/>
    </row>
    <row r="64" spans="2:116" ht="15" customHeight="1">
      <c r="B64" s="15" t="s">
        <v>66</v>
      </c>
      <c r="C64" s="15"/>
      <c r="D64" s="15"/>
      <c r="E64" s="15"/>
      <c r="F64" s="15"/>
      <c r="G64" s="15"/>
      <c r="H64" s="15"/>
      <c r="I64" s="15"/>
      <c r="J64" s="15"/>
      <c r="K64" s="15"/>
      <c r="L64" s="13" t="s">
        <v>105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3" t="s">
        <v>106</v>
      </c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6" t="s">
        <v>72</v>
      </c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>
        <v>2</v>
      </c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>
        <f t="shared" si="2"/>
        <v>100000</v>
      </c>
      <c r="CU64" s="16"/>
      <c r="CV64" s="16"/>
      <c r="CW64" s="16"/>
      <c r="CX64" s="16"/>
      <c r="CY64" s="16"/>
      <c r="CZ64" s="16"/>
      <c r="DA64" s="16"/>
      <c r="DB64" s="16"/>
      <c r="DC64" s="16"/>
    </row>
    <row r="65" spans="2:107" ht="15" customHeight="1">
      <c r="B65" s="15" t="s">
        <v>99</v>
      </c>
      <c r="C65" s="15"/>
      <c r="D65" s="15"/>
      <c r="E65" s="15"/>
      <c r="F65" s="15"/>
      <c r="G65" s="15"/>
      <c r="H65" s="15"/>
      <c r="I65" s="15"/>
      <c r="J65" s="15"/>
      <c r="K65" s="15"/>
      <c r="L65" s="13" t="s">
        <v>105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3" t="s">
        <v>71</v>
      </c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6" t="s">
        <v>107</v>
      </c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>
        <v>3</v>
      </c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>
        <f t="shared" si="2"/>
        <v>540000</v>
      </c>
      <c r="CU65" s="16"/>
      <c r="CV65" s="16"/>
      <c r="CW65" s="16"/>
      <c r="CX65" s="16"/>
      <c r="CY65" s="16"/>
      <c r="CZ65" s="16"/>
      <c r="DA65" s="16"/>
      <c r="DB65" s="16"/>
      <c r="DC65" s="16"/>
    </row>
    <row r="66" spans="2:107" ht="15" customHeight="1">
      <c r="B66" s="15" t="s">
        <v>82</v>
      </c>
      <c r="C66" s="15"/>
      <c r="D66" s="15"/>
      <c r="E66" s="15"/>
      <c r="F66" s="15"/>
      <c r="G66" s="15"/>
      <c r="H66" s="15"/>
      <c r="I66" s="15"/>
      <c r="J66" s="15"/>
      <c r="K66" s="15"/>
      <c r="L66" s="13" t="s">
        <v>105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3" t="s">
        <v>42</v>
      </c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6" t="s">
        <v>108</v>
      </c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>
        <v>4</v>
      </c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>
        <f t="shared" si="2"/>
        <v>288000</v>
      </c>
      <c r="CU66" s="16"/>
      <c r="CV66" s="16"/>
      <c r="CW66" s="16"/>
      <c r="CX66" s="16"/>
      <c r="CY66" s="16"/>
      <c r="CZ66" s="16"/>
      <c r="DA66" s="16"/>
      <c r="DB66" s="16"/>
      <c r="DC66" s="16"/>
    </row>
    <row r="67" spans="2:107" ht="15" customHeight="1">
      <c r="B67" s="15" t="s">
        <v>50</v>
      </c>
      <c r="C67" s="15"/>
      <c r="D67" s="15"/>
      <c r="E67" s="15"/>
      <c r="F67" s="15"/>
      <c r="G67" s="15"/>
      <c r="H67" s="15"/>
      <c r="I67" s="15"/>
      <c r="J67" s="15"/>
      <c r="K67" s="15"/>
      <c r="L67" s="13" t="s">
        <v>109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3" t="s">
        <v>106</v>
      </c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6" t="s">
        <v>110</v>
      </c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>
        <v>1</v>
      </c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>
        <f t="shared" si="2"/>
        <v>20000</v>
      </c>
      <c r="CU67" s="16"/>
      <c r="CV67" s="16"/>
      <c r="CW67" s="16"/>
      <c r="CX67" s="16"/>
      <c r="CY67" s="16"/>
      <c r="CZ67" s="16"/>
      <c r="DA67" s="16"/>
      <c r="DB67" s="16"/>
      <c r="DC67" s="16"/>
    </row>
    <row r="68" spans="2:107" ht="15" customHeight="1">
      <c r="B68" s="15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3" t="s">
        <v>109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3" t="s">
        <v>80</v>
      </c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6" t="s">
        <v>111</v>
      </c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>
        <v>2</v>
      </c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>
        <f t="shared" si="2"/>
        <v>496000</v>
      </c>
      <c r="CU68" s="16"/>
      <c r="CV68" s="16"/>
      <c r="CW68" s="16"/>
      <c r="CX68" s="16"/>
      <c r="CY68" s="16"/>
      <c r="CZ68" s="16"/>
      <c r="DA68" s="16"/>
      <c r="DB68" s="16"/>
      <c r="DC68" s="16"/>
    </row>
    <row r="69" spans="2:107" ht="15" customHeight="1">
      <c r="B69" s="15" t="s">
        <v>112</v>
      </c>
      <c r="C69" s="15"/>
      <c r="D69" s="15"/>
      <c r="E69" s="15"/>
      <c r="F69" s="15"/>
      <c r="G69" s="15"/>
      <c r="H69" s="15"/>
      <c r="I69" s="15"/>
      <c r="J69" s="15"/>
      <c r="K69" s="15"/>
      <c r="L69" s="13" t="s">
        <v>109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3" t="s">
        <v>42</v>
      </c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6" t="s">
        <v>104</v>
      </c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>
        <v>3</v>
      </c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>
        <f t="shared" si="2"/>
        <v>54000</v>
      </c>
      <c r="CU69" s="16"/>
      <c r="CV69" s="16"/>
      <c r="CW69" s="16"/>
      <c r="CX69" s="16"/>
      <c r="CY69" s="16"/>
      <c r="CZ69" s="16"/>
      <c r="DA69" s="16"/>
      <c r="DB69" s="16"/>
      <c r="DC69" s="16"/>
    </row>
    <row r="70" spans="2:107" ht="15" customHeight="1">
      <c r="B70" s="15" t="s">
        <v>76</v>
      </c>
      <c r="C70" s="15"/>
      <c r="D70" s="15"/>
      <c r="E70" s="15"/>
      <c r="F70" s="15"/>
      <c r="G70" s="15"/>
      <c r="H70" s="15"/>
      <c r="I70" s="15"/>
      <c r="J70" s="15"/>
      <c r="K70" s="15"/>
      <c r="L70" s="13" t="s">
        <v>109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3" t="s">
        <v>103</v>
      </c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6" t="s">
        <v>113</v>
      </c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>
        <v>4</v>
      </c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>
        <f t="shared" si="2"/>
        <v>48000</v>
      </c>
      <c r="CU70" s="16"/>
      <c r="CV70" s="16"/>
      <c r="CW70" s="16"/>
      <c r="CX70" s="16"/>
      <c r="CY70" s="16"/>
      <c r="CZ70" s="16"/>
      <c r="DA70" s="16"/>
      <c r="DB70" s="16"/>
      <c r="DC70" s="16"/>
    </row>
    <row r="71" spans="2:107" ht="15" customHeight="1">
      <c r="B71" s="15" t="s">
        <v>61</v>
      </c>
      <c r="C71" s="15"/>
      <c r="D71" s="15"/>
      <c r="E71" s="15"/>
      <c r="F71" s="15"/>
      <c r="G71" s="15"/>
      <c r="H71" s="15"/>
      <c r="I71" s="15"/>
      <c r="J71" s="15"/>
      <c r="K71" s="15"/>
      <c r="L71" s="13" t="s">
        <v>114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3" t="s">
        <v>84</v>
      </c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6" t="s">
        <v>115</v>
      </c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>
        <v>1</v>
      </c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>
        <f t="shared" si="2"/>
        <v>428000</v>
      </c>
      <c r="CU71" s="16"/>
      <c r="CV71" s="16"/>
      <c r="CW71" s="16"/>
      <c r="CX71" s="16"/>
      <c r="CY71" s="16"/>
      <c r="CZ71" s="16"/>
      <c r="DA71" s="16"/>
      <c r="DB71" s="16"/>
      <c r="DC71" s="16"/>
    </row>
    <row r="72" spans="2:107" ht="15" customHeight="1">
      <c r="B72" s="15" t="s">
        <v>86</v>
      </c>
      <c r="C72" s="15"/>
      <c r="D72" s="15"/>
      <c r="E72" s="15"/>
      <c r="F72" s="15"/>
      <c r="G72" s="15"/>
      <c r="H72" s="15"/>
      <c r="I72" s="15"/>
      <c r="J72" s="15"/>
      <c r="K72" s="15"/>
      <c r="L72" s="13" t="s">
        <v>114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3" t="s">
        <v>92</v>
      </c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6" t="s">
        <v>116</v>
      </c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>
        <v>2</v>
      </c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>
        <f t="shared" si="2"/>
        <v>48000</v>
      </c>
      <c r="CU72" s="16"/>
      <c r="CV72" s="16"/>
      <c r="CW72" s="16"/>
      <c r="CX72" s="16"/>
      <c r="CY72" s="16"/>
      <c r="CZ72" s="16"/>
      <c r="DA72" s="16"/>
      <c r="DB72" s="16"/>
      <c r="DC72" s="16"/>
    </row>
    <row r="73" spans="2:107" ht="15" customHeight="1">
      <c r="B73" s="15" t="s">
        <v>37</v>
      </c>
      <c r="C73" s="15"/>
      <c r="D73" s="15"/>
      <c r="E73" s="15"/>
      <c r="F73" s="15"/>
      <c r="G73" s="15"/>
      <c r="H73" s="15"/>
      <c r="I73" s="15"/>
      <c r="J73" s="15"/>
      <c r="K73" s="15"/>
      <c r="L73" s="13" t="s">
        <v>114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3" t="s">
        <v>94</v>
      </c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6" t="s">
        <v>117</v>
      </c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>
        <v>3</v>
      </c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>
        <f t="shared" si="2"/>
        <v>276000</v>
      </c>
      <c r="CU73" s="16"/>
      <c r="CV73" s="16"/>
      <c r="CW73" s="16"/>
      <c r="CX73" s="16"/>
      <c r="CY73" s="16"/>
      <c r="CZ73" s="16"/>
      <c r="DA73" s="16"/>
      <c r="DB73" s="16"/>
      <c r="DC73" s="16"/>
    </row>
    <row r="74" spans="2:107" ht="15" customHeight="1">
      <c r="B74" s="15" t="s">
        <v>61</v>
      </c>
      <c r="C74" s="15"/>
      <c r="D74" s="15"/>
      <c r="E74" s="15"/>
      <c r="F74" s="15"/>
      <c r="G74" s="15"/>
      <c r="H74" s="15"/>
      <c r="I74" s="15"/>
      <c r="J74" s="15"/>
      <c r="K74" s="15"/>
      <c r="L74" s="13" t="s">
        <v>118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3" t="s">
        <v>119</v>
      </c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6" t="s">
        <v>120</v>
      </c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>
        <v>4</v>
      </c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>
        <f t="shared" si="2"/>
        <v>1880000</v>
      </c>
      <c r="CU74" s="16"/>
      <c r="CV74" s="16"/>
      <c r="CW74" s="16"/>
      <c r="CX74" s="16"/>
      <c r="CY74" s="16"/>
      <c r="CZ74" s="16"/>
      <c r="DA74" s="16"/>
      <c r="DB74" s="16"/>
      <c r="DC74" s="16"/>
    </row>
    <row r="75" spans="2:107" ht="18.75" customHeight="1">
      <c r="G75" s="22" t="s">
        <v>121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3" t="s">
        <v>122</v>
      </c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>
        <f>SUM(CT28:DC45,CT57:DC74)</f>
        <v>19838000</v>
      </c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</row>
    <row r="76" spans="2:107" ht="15" customHeight="1"/>
    <row r="77" spans="2:107" ht="15" customHeight="1"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</row>
    <row r="78" spans="2:107" ht="7.5" customHeight="1"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</row>
    <row r="79" spans="2:107" ht="7.5" customHeight="1"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</row>
    <row r="80" spans="2:107" ht="7.5" customHeight="1"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</row>
    <row r="81" spans="42:75" ht="7.5" customHeight="1"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</row>
    <row r="82" spans="42:75" ht="7.5" customHeight="1"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</row>
    <row r="83" spans="42:75" ht="7.5" customHeight="1"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</row>
    <row r="84" spans="42:75" ht="7.5" customHeight="1"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</row>
    <row r="85" spans="42:75" ht="7.5" customHeight="1"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</row>
    <row r="86" spans="42:75" ht="7.5" customHeight="1"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</row>
    <row r="87" spans="42:75" ht="7.5" customHeight="1"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</row>
    <row r="88" spans="42:75" ht="7.5" customHeight="1"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</row>
    <row r="89" spans="42:75" ht="7.5" customHeight="1"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</row>
    <row r="90" spans="42:75" ht="7.5" customHeight="1"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</row>
    <row r="91" spans="42:75" ht="7.5" customHeight="1"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</row>
    <row r="92" spans="42:75" ht="7.5" customHeight="1"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</row>
    <row r="93" spans="42:75" ht="7.5" customHeight="1"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</row>
    <row r="94" spans="42:75" ht="7.5" customHeight="1"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</row>
    <row r="95" spans="42:75" ht="7.5" customHeight="1"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</row>
    <row r="96" spans="42:75" ht="7.5" customHeight="1"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</row>
    <row r="97" spans="42:75" ht="7.5" customHeight="1"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</row>
    <row r="98" spans="42:75" ht="7.5" customHeight="1"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</row>
    <row r="99" spans="42:75" ht="7.5" customHeight="1"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</row>
    <row r="100" spans="42:75" ht="7.5" customHeight="1"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</row>
    <row r="101" spans="42:75" ht="7.5" customHeight="1"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</row>
    <row r="102" spans="42:75" ht="7.5" customHeight="1"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</row>
    <row r="103" spans="42:75" ht="7.5" customHeight="1"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</row>
    <row r="104" spans="42:75" ht="7.5" customHeight="1"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</row>
    <row r="105" spans="42:75" ht="7.5" customHeight="1"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</row>
    <row r="106" spans="42:75" ht="7.5" customHeight="1"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</row>
    <row r="107" spans="42:75" ht="7.5" customHeight="1"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</row>
    <row r="108" spans="42:75" ht="7.5" customHeight="1"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</row>
    <row r="109" spans="42:75" ht="7.5" customHeight="1"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</row>
    <row r="110" spans="42:75" ht="7.5" customHeight="1"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</row>
    <row r="111" spans="42:75" ht="7.5" customHeight="1"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</row>
    <row r="112" spans="42:75" ht="7.5" customHeight="1"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</row>
    <row r="113" spans="10:116" ht="7.5" customHeight="1"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</row>
    <row r="114" spans="10:116" ht="7.5" customHeight="1"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</row>
    <row r="115" spans="10:116" ht="7.5" customHeight="1"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</row>
    <row r="116" spans="10:116" ht="7.5" customHeight="1"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</row>
    <row r="117" spans="10:116" ht="7.5" customHeight="1"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</row>
    <row r="118" spans="10:116" ht="7.5" customHeight="1"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</row>
    <row r="119" spans="10:116" ht="48.75" customHeight="1"/>
    <row r="120" spans="10:116" ht="20.25" customHeight="1">
      <c r="AN120" s="16" t="s">
        <v>123</v>
      </c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</row>
    <row r="121" spans="10:116" ht="0.75" customHeight="1"/>
    <row r="122" spans="10:116" ht="15.75" customHeight="1"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</row>
    <row r="123" spans="10:116" ht="15.75" customHeight="1"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</row>
    <row r="124" spans="10:116" ht="15.75" customHeight="1"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</row>
    <row r="125" spans="10:116" ht="6.75" customHeight="1">
      <c r="DL125" t="s">
        <v>88</v>
      </c>
    </row>
  </sheetData>
  <mergeCells count="370">
    <mergeCell ref="J122:BA122"/>
    <mergeCell ref="J123:BA123"/>
    <mergeCell ref="J124:BA124"/>
    <mergeCell ref="AP115:BW115"/>
    <mergeCell ref="AP116:BW116"/>
    <mergeCell ref="AP117:BW117"/>
    <mergeCell ref="AP118:BW118"/>
    <mergeCell ref="AN120:BP120"/>
    <mergeCell ref="BQ120:DC120"/>
    <mergeCell ref="AP110:BW110"/>
    <mergeCell ref="AP111:BW111"/>
    <mergeCell ref="AP112:BW112"/>
    <mergeCell ref="AP113:BW113"/>
    <mergeCell ref="AP114:BW114"/>
    <mergeCell ref="AP105:BW105"/>
    <mergeCell ref="AP106:BW106"/>
    <mergeCell ref="AP107:BW107"/>
    <mergeCell ref="AP108:BW108"/>
    <mergeCell ref="AP109:BW109"/>
    <mergeCell ref="AP100:BW100"/>
    <mergeCell ref="AP101:BW101"/>
    <mergeCell ref="AP102:BW102"/>
    <mergeCell ref="AP103:BW103"/>
    <mergeCell ref="AP104:BW104"/>
    <mergeCell ref="AP95:BW95"/>
    <mergeCell ref="AP96:BW96"/>
    <mergeCell ref="AP97:BW97"/>
    <mergeCell ref="AP98:BW98"/>
    <mergeCell ref="AP99:BW99"/>
    <mergeCell ref="AP90:BW90"/>
    <mergeCell ref="AP91:BW91"/>
    <mergeCell ref="AP92:BW92"/>
    <mergeCell ref="AP93:BW93"/>
    <mergeCell ref="AP94:BW94"/>
    <mergeCell ref="AP85:BW85"/>
    <mergeCell ref="AP86:BW86"/>
    <mergeCell ref="AP87:BW87"/>
    <mergeCell ref="AP88:BW88"/>
    <mergeCell ref="AP89:BW89"/>
    <mergeCell ref="AP80:BW80"/>
    <mergeCell ref="AP81:BW81"/>
    <mergeCell ref="AP82:BW82"/>
    <mergeCell ref="AP83:BW83"/>
    <mergeCell ref="AP84:BW84"/>
    <mergeCell ref="CD75:CN75"/>
    <mergeCell ref="CO75:DC75"/>
    <mergeCell ref="G77:DC77"/>
    <mergeCell ref="AP78:BW78"/>
    <mergeCell ref="AP79:BW79"/>
    <mergeCell ref="G75:S75"/>
    <mergeCell ref="T75:AD75"/>
    <mergeCell ref="AE75:AW75"/>
    <mergeCell ref="AX75:BK75"/>
    <mergeCell ref="BL75:CC75"/>
    <mergeCell ref="CE73:CS73"/>
    <mergeCell ref="CT73:DC73"/>
    <mergeCell ref="B74:K74"/>
    <mergeCell ref="L74:AB74"/>
    <mergeCell ref="AC74:AS74"/>
    <mergeCell ref="AT74:BP74"/>
    <mergeCell ref="BQ74:CD74"/>
    <mergeCell ref="CE74:CS74"/>
    <mergeCell ref="CT74:DC74"/>
    <mergeCell ref="B73:K73"/>
    <mergeCell ref="L73:AB73"/>
    <mergeCell ref="AC73:AS73"/>
    <mergeCell ref="AT73:BP73"/>
    <mergeCell ref="BQ73:CD73"/>
    <mergeCell ref="CE71:CS71"/>
    <mergeCell ref="CT71:DC71"/>
    <mergeCell ref="B72:K72"/>
    <mergeCell ref="L72:AB72"/>
    <mergeCell ref="AC72:AS72"/>
    <mergeCell ref="AT72:BP72"/>
    <mergeCell ref="BQ72:CD72"/>
    <mergeCell ref="CE72:CS72"/>
    <mergeCell ref="CT72:DC72"/>
    <mergeCell ref="B71:K71"/>
    <mergeCell ref="L71:AB71"/>
    <mergeCell ref="AC71:AS71"/>
    <mergeCell ref="AT71:BP71"/>
    <mergeCell ref="BQ71:CD71"/>
    <mergeCell ref="CE69:CS69"/>
    <mergeCell ref="CT69:DC69"/>
    <mergeCell ref="B70:K70"/>
    <mergeCell ref="L70:AB70"/>
    <mergeCell ref="AC70:AS70"/>
    <mergeCell ref="AT70:BP70"/>
    <mergeCell ref="BQ70:CD70"/>
    <mergeCell ref="CE70:CS70"/>
    <mergeCell ref="CT70:DC70"/>
    <mergeCell ref="B69:K69"/>
    <mergeCell ref="L69:AB69"/>
    <mergeCell ref="AC69:AS69"/>
    <mergeCell ref="AT69:BP69"/>
    <mergeCell ref="BQ69:CD69"/>
    <mergeCell ref="CE67:CS67"/>
    <mergeCell ref="CT67:DC67"/>
    <mergeCell ref="B68:K68"/>
    <mergeCell ref="L68:AB68"/>
    <mergeCell ref="AC68:AS68"/>
    <mergeCell ref="AT68:BP68"/>
    <mergeCell ref="BQ68:CD68"/>
    <mergeCell ref="CE68:CS68"/>
    <mergeCell ref="CT68:DC68"/>
    <mergeCell ref="B67:K67"/>
    <mergeCell ref="L67:AB67"/>
    <mergeCell ref="AC67:AS67"/>
    <mergeCell ref="AT67:BP67"/>
    <mergeCell ref="BQ67:CD67"/>
    <mergeCell ref="CE65:CS65"/>
    <mergeCell ref="CT65:DC65"/>
    <mergeCell ref="B66:K66"/>
    <mergeCell ref="L66:AB66"/>
    <mergeCell ref="AC66:AS66"/>
    <mergeCell ref="AT66:BP66"/>
    <mergeCell ref="BQ66:CD66"/>
    <mergeCell ref="CE66:CS66"/>
    <mergeCell ref="CT66:DC66"/>
    <mergeCell ref="B65:K65"/>
    <mergeCell ref="L65:AB65"/>
    <mergeCell ref="AC65:AS65"/>
    <mergeCell ref="AT65:BP65"/>
    <mergeCell ref="BQ65:CD65"/>
    <mergeCell ref="CE63:CS63"/>
    <mergeCell ref="CT63:DC63"/>
    <mergeCell ref="B64:K64"/>
    <mergeCell ref="L64:AB64"/>
    <mergeCell ref="AC64:AS64"/>
    <mergeCell ref="AT64:BP64"/>
    <mergeCell ref="BQ64:CD64"/>
    <mergeCell ref="CE64:CS64"/>
    <mergeCell ref="CT64:DC64"/>
    <mergeCell ref="B63:K63"/>
    <mergeCell ref="L63:AB63"/>
    <mergeCell ref="AC63:AS63"/>
    <mergeCell ref="AT63:BP63"/>
    <mergeCell ref="BQ63:CD63"/>
    <mergeCell ref="CE61:CS61"/>
    <mergeCell ref="CT61:DC61"/>
    <mergeCell ref="B62:K62"/>
    <mergeCell ref="L62:AB62"/>
    <mergeCell ref="AC62:AS62"/>
    <mergeCell ref="AT62:BP62"/>
    <mergeCell ref="BQ62:CD62"/>
    <mergeCell ref="CE62:CS62"/>
    <mergeCell ref="CT62:DC62"/>
    <mergeCell ref="B61:K61"/>
    <mergeCell ref="L61:AB61"/>
    <mergeCell ref="AC61:AS61"/>
    <mergeCell ref="AT61:BP61"/>
    <mergeCell ref="BQ61:CD61"/>
    <mergeCell ref="CE59:CS59"/>
    <mergeCell ref="CT59:DC59"/>
    <mergeCell ref="B60:K60"/>
    <mergeCell ref="L60:AB60"/>
    <mergeCell ref="AC60:AS60"/>
    <mergeCell ref="AT60:BP60"/>
    <mergeCell ref="BQ60:CD60"/>
    <mergeCell ref="CE60:CS60"/>
    <mergeCell ref="CT60:DC60"/>
    <mergeCell ref="B59:K59"/>
    <mergeCell ref="L59:AB59"/>
    <mergeCell ref="AC59:AS59"/>
    <mergeCell ref="AT59:BP59"/>
    <mergeCell ref="BQ59:CD59"/>
    <mergeCell ref="CE57:CS57"/>
    <mergeCell ref="CT57:DC57"/>
    <mergeCell ref="B58:K58"/>
    <mergeCell ref="L58:AB58"/>
    <mergeCell ref="AC58:AS58"/>
    <mergeCell ref="AT58:BP58"/>
    <mergeCell ref="BQ58:CD58"/>
    <mergeCell ref="CE58:CS58"/>
    <mergeCell ref="CT58:DC58"/>
    <mergeCell ref="B57:K57"/>
    <mergeCell ref="L57:AB57"/>
    <mergeCell ref="AC57:AS57"/>
    <mergeCell ref="AT57:BP57"/>
    <mergeCell ref="BQ57:CD57"/>
    <mergeCell ref="G53:O53"/>
    <mergeCell ref="P53:CI53"/>
    <mergeCell ref="CJ53:DC53"/>
    <mergeCell ref="C55:DC55"/>
    <mergeCell ref="B56:K56"/>
    <mergeCell ref="L56:AB56"/>
    <mergeCell ref="AC56:AS56"/>
    <mergeCell ref="AT56:BP56"/>
    <mergeCell ref="BQ56:CD56"/>
    <mergeCell ref="CE56:CS56"/>
    <mergeCell ref="CT56:DC56"/>
    <mergeCell ref="J47:BA48"/>
    <mergeCell ref="J49:BA49"/>
    <mergeCell ref="J50:BA50"/>
    <mergeCell ref="G52:CI52"/>
    <mergeCell ref="CJ52:DC52"/>
    <mergeCell ref="CE44:CS44"/>
    <mergeCell ref="CT44:DC44"/>
    <mergeCell ref="B45:K45"/>
    <mergeCell ref="L45:AB45"/>
    <mergeCell ref="AC45:AS45"/>
    <mergeCell ref="AT45:BP45"/>
    <mergeCell ref="BQ45:CD45"/>
    <mergeCell ref="CE45:CS45"/>
    <mergeCell ref="CT45:DC45"/>
    <mergeCell ref="B44:K44"/>
    <mergeCell ref="L44:AB44"/>
    <mergeCell ref="AC44:AS44"/>
    <mergeCell ref="AT44:BP44"/>
    <mergeCell ref="BQ44:CD44"/>
    <mergeCell ref="CE42:CS42"/>
    <mergeCell ref="CT42:DC42"/>
    <mergeCell ref="B43:K43"/>
    <mergeCell ref="L43:AB43"/>
    <mergeCell ref="AC43:AS43"/>
    <mergeCell ref="AT43:BP43"/>
    <mergeCell ref="BQ43:CD43"/>
    <mergeCell ref="CE43:CS43"/>
    <mergeCell ref="CT43:DC43"/>
    <mergeCell ref="B42:K42"/>
    <mergeCell ref="L42:AB42"/>
    <mergeCell ref="AC42:AS42"/>
    <mergeCell ref="AT42:BP42"/>
    <mergeCell ref="BQ42:CD42"/>
    <mergeCell ref="CE40:CS40"/>
    <mergeCell ref="CT40:DC40"/>
    <mergeCell ref="B41:K41"/>
    <mergeCell ref="L41:AB41"/>
    <mergeCell ref="AC41:AS41"/>
    <mergeCell ref="AT41:BP41"/>
    <mergeCell ref="BQ41:CD41"/>
    <mergeCell ref="CE41:CS41"/>
    <mergeCell ref="CT41:DC41"/>
    <mergeCell ref="B40:K40"/>
    <mergeCell ref="L40:AB40"/>
    <mergeCell ref="AC40:AS40"/>
    <mergeCell ref="AT40:BP40"/>
    <mergeCell ref="BQ40:CD40"/>
    <mergeCell ref="CE38:CS38"/>
    <mergeCell ref="CT38:DC38"/>
    <mergeCell ref="B39:K39"/>
    <mergeCell ref="L39:AB39"/>
    <mergeCell ref="AC39:AS39"/>
    <mergeCell ref="AT39:BP39"/>
    <mergeCell ref="BQ39:CD39"/>
    <mergeCell ref="CE39:CS39"/>
    <mergeCell ref="CT39:DC39"/>
    <mergeCell ref="B38:K38"/>
    <mergeCell ref="L38:AB38"/>
    <mergeCell ref="AC38:AS38"/>
    <mergeCell ref="AT38:BP38"/>
    <mergeCell ref="BQ38:CD38"/>
    <mergeCell ref="CE36:CS36"/>
    <mergeCell ref="CT36:DC36"/>
    <mergeCell ref="B37:K37"/>
    <mergeCell ref="L37:AB37"/>
    <mergeCell ref="AC37:AS37"/>
    <mergeCell ref="AT37:BP37"/>
    <mergeCell ref="BQ37:CD37"/>
    <mergeCell ref="CE37:CS37"/>
    <mergeCell ref="CT37:DC37"/>
    <mergeCell ref="B36:K36"/>
    <mergeCell ref="L36:AB36"/>
    <mergeCell ref="AC36:AS36"/>
    <mergeCell ref="AT36:BP36"/>
    <mergeCell ref="BQ36:CD36"/>
    <mergeCell ref="CE34:CS34"/>
    <mergeCell ref="CT34:DC34"/>
    <mergeCell ref="B35:K35"/>
    <mergeCell ref="L35:AB35"/>
    <mergeCell ref="AC35:AS35"/>
    <mergeCell ref="AT35:BP35"/>
    <mergeCell ref="BQ35:CD35"/>
    <mergeCell ref="CE35:CS35"/>
    <mergeCell ref="CT35:DC35"/>
    <mergeCell ref="B34:K34"/>
    <mergeCell ref="L34:AB34"/>
    <mergeCell ref="AC34:AS34"/>
    <mergeCell ref="AT34:BP34"/>
    <mergeCell ref="BQ34:CD34"/>
    <mergeCell ref="CE32:CS32"/>
    <mergeCell ref="CT32:DC32"/>
    <mergeCell ref="B33:K33"/>
    <mergeCell ref="L33:AB33"/>
    <mergeCell ref="AC33:AS33"/>
    <mergeCell ref="AT33:BP33"/>
    <mergeCell ref="BQ33:CD33"/>
    <mergeCell ref="CE33:CS33"/>
    <mergeCell ref="CT33:DC33"/>
    <mergeCell ref="B32:K32"/>
    <mergeCell ref="L32:AB32"/>
    <mergeCell ref="AC32:AS32"/>
    <mergeCell ref="AT32:BP32"/>
    <mergeCell ref="BQ32:CD32"/>
    <mergeCell ref="CE30:CS30"/>
    <mergeCell ref="CT30:DC30"/>
    <mergeCell ref="B31:K31"/>
    <mergeCell ref="L31:AB31"/>
    <mergeCell ref="AC31:AS31"/>
    <mergeCell ref="AT31:BP31"/>
    <mergeCell ref="BQ31:CD31"/>
    <mergeCell ref="CE31:CS31"/>
    <mergeCell ref="CT31:DC31"/>
    <mergeCell ref="B30:K30"/>
    <mergeCell ref="L30:AB30"/>
    <mergeCell ref="AC30:AS30"/>
    <mergeCell ref="AT30:BP30"/>
    <mergeCell ref="BQ30:CD30"/>
    <mergeCell ref="CE28:CS28"/>
    <mergeCell ref="CT28:DC28"/>
    <mergeCell ref="B29:K29"/>
    <mergeCell ref="L29:AB29"/>
    <mergeCell ref="AC29:AS29"/>
    <mergeCell ref="AT29:BP29"/>
    <mergeCell ref="BQ29:CD29"/>
    <mergeCell ref="CE29:CS29"/>
    <mergeCell ref="CT29:DC29"/>
    <mergeCell ref="B28:K28"/>
    <mergeCell ref="L28:AB28"/>
    <mergeCell ref="AC28:AS28"/>
    <mergeCell ref="AT28:BP28"/>
    <mergeCell ref="BQ28:CD28"/>
    <mergeCell ref="G24:DC24"/>
    <mergeCell ref="BE25:DC25"/>
    <mergeCell ref="C26:DC26"/>
    <mergeCell ref="B27:K27"/>
    <mergeCell ref="L27:AB27"/>
    <mergeCell ref="AC27:AS27"/>
    <mergeCell ref="AT27:BP27"/>
    <mergeCell ref="BQ27:CD27"/>
    <mergeCell ref="CE27:CS27"/>
    <mergeCell ref="CT27:DC27"/>
    <mergeCell ref="G22:AI22"/>
    <mergeCell ref="AJ22:BF22"/>
    <mergeCell ref="BG22:BZ22"/>
    <mergeCell ref="CA22:CL22"/>
    <mergeCell ref="CM22:CZ22"/>
    <mergeCell ref="F17:Z17"/>
    <mergeCell ref="AA17:BC17"/>
    <mergeCell ref="BD17:CK17"/>
    <mergeCell ref="CL17:DB17"/>
    <mergeCell ref="F18:Z20"/>
    <mergeCell ref="AA18:BC20"/>
    <mergeCell ref="BD18:BU18"/>
    <mergeCell ref="BV18:CK18"/>
    <mergeCell ref="CL18:DB18"/>
    <mergeCell ref="BD19:BU19"/>
    <mergeCell ref="BV19:DB19"/>
    <mergeCell ref="BD20:BU20"/>
    <mergeCell ref="BV20:DB20"/>
    <mergeCell ref="F13:BC13"/>
    <mergeCell ref="BD13:DB16"/>
    <mergeCell ref="F14:BC14"/>
    <mergeCell ref="F15:Z15"/>
    <mergeCell ref="AA15:BC15"/>
    <mergeCell ref="F16:Z16"/>
    <mergeCell ref="AA16:BC16"/>
    <mergeCell ref="F10:BC10"/>
    <mergeCell ref="BD10:DB10"/>
    <mergeCell ref="F11:BC12"/>
    <mergeCell ref="BD11:DB11"/>
    <mergeCell ref="BD12:DB12"/>
    <mergeCell ref="G4:BD4"/>
    <mergeCell ref="BE4:DC4"/>
    <mergeCell ref="F6:BC6"/>
    <mergeCell ref="BD6:DB6"/>
    <mergeCell ref="F7:BC9"/>
    <mergeCell ref="BD7:DB7"/>
    <mergeCell ref="BD8:DB8"/>
    <mergeCell ref="BD9:DB9"/>
  </mergeCells>
  <phoneticPr fontId="27" type="noConversion"/>
  <pageMargins left="0.7" right="0.7" top="0.75" bottom="0.75" header="0" footer="0"/>
  <pageSetup paperSize="9" fitToHeight="0" orientation="portrait" r:id="rId1"/>
  <rowBreaks count="2" manualBreakCount="2">
    <brk id="50" max="16383" man="1"/>
    <brk id="12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LEIV001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张巍</cp:lastModifiedBy>
  <dcterms:created xsi:type="dcterms:W3CDTF">2026-05-11T23:52:27Z</dcterms:created>
  <dcterms:modified xsi:type="dcterms:W3CDTF">2026-05-19T05:26:47Z</dcterms:modified>
</cp:coreProperties>
</file>